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1_Funding_Pilot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Schema_v0_Archive" sheetId="3" state="visible" r:id="rId3"/>
    <sheet xmlns:r="http://schemas.openxmlformats.org/officeDocument/2006/relationships" name="Coding_Guide" sheetId="4" state="visible" r:id="rId4"/>
    <sheet xmlns:r="http://schemas.openxmlformats.org/officeDocument/2006/relationships" name="Funder_Problem_Frames" sheetId="5" state="visible" r:id="rId5"/>
    <sheet xmlns:r="http://schemas.openxmlformats.org/officeDocument/2006/relationships" name="README" sheetId="6" state="visible" r:id="rId6"/>
    <sheet xmlns:r="http://schemas.openxmlformats.org/officeDocument/2006/relationships" name="Schema_v1_Common" sheetId="7" state="visible" r:id="rId7"/>
    <sheet xmlns:r="http://schemas.openxmlformats.org/officeDocument/2006/relationships" name="Set1_Schema_v1" sheetId="8" state="visible" r:id="rId8"/>
    <sheet xmlns:r="http://schemas.openxmlformats.org/officeDocument/2006/relationships" name="Set2_Eval_Pilot" sheetId="9" state="visible" r:id="rId9"/>
    <sheet xmlns:r="http://schemas.openxmlformats.org/officeDocument/2006/relationships" name="Set2_Schema_v1" sheetId="10" state="visible" r:id="rId10"/>
    <sheet xmlns:r="http://schemas.openxmlformats.org/officeDocument/2006/relationships" name="Set3_Trajectory_Pilot" sheetId="11" state="visible" r:id="rId11"/>
    <sheet xmlns:r="http://schemas.openxmlformats.org/officeDocument/2006/relationships" name="Set3_Schema_v1" sheetId="12" state="visible" r:id="rId12"/>
    <sheet xmlns:r="http://schemas.openxmlformats.org/officeDocument/2006/relationships" name="Crosswalk" sheetId="13" state="visible" r:id="rId13"/>
    <sheet xmlns:r="http://schemas.openxmlformats.org/officeDocument/2006/relationships" name="Revision_Log" sheetId="14" state="visible" r:id="rId14"/>
    <sheet xmlns:r="http://schemas.openxmlformats.org/officeDocument/2006/relationships" name="Source_Archive" sheetId="15" state="visible" r:id="rId15"/>
    <sheet xmlns:r="http://schemas.openxmlformats.org/officeDocument/2006/relationships" name="Pilot_Questions" sheetId="16" state="visible" r:id="rId16"/>
    <sheet xmlns:r="http://schemas.openxmlformats.org/officeDocument/2006/relationships" name="Schema_Review_v1_1" sheetId="17" state="visible" r:id="rId17"/>
    <sheet xmlns:r="http://schemas.openxmlformats.org/officeDocument/2006/relationships" name="Schema_v1_1_Common" sheetId="18" state="visible" r:id="rId18"/>
    <sheet xmlns:r="http://schemas.openxmlformats.org/officeDocument/2006/relationships" name="Set1_Schema_v1_1" sheetId="19" state="visible" r:id="rId19"/>
    <sheet xmlns:r="http://schemas.openxmlformats.org/officeDocument/2006/relationships" name="Set2_Schema_v1_1" sheetId="20" state="visible" r:id="rId20"/>
    <sheet xmlns:r="http://schemas.openxmlformats.org/officeDocument/2006/relationships" name="Set3_Schema_v1_1" sheetId="21" state="visible" r:id="rId21"/>
    <sheet xmlns:r="http://schemas.openxmlformats.org/officeDocument/2006/relationships" name="Set2_Eval_Pilot_v1_1" sheetId="22" state="visible" r:id="rId22"/>
    <sheet xmlns:r="http://schemas.openxmlformats.org/officeDocument/2006/relationships" name="Set3_Trajectory_Pilot_v1_1" sheetId="23" state="visible" r:id="rId23"/>
    <sheet xmlns:r="http://schemas.openxmlformats.org/officeDocument/2006/relationships" name="Set1_Funding_Pilot_v1_1" sheetId="24" state="visible" r:id="rId24"/>
    <sheet xmlns:r="http://schemas.openxmlformats.org/officeDocument/2006/relationships" name="QC_v1_1" sheetId="25" state="visible" r:id="rId25"/>
    <sheet xmlns:r="http://schemas.openxmlformats.org/officeDocument/2006/relationships" name="Expansion_v1_3" sheetId="26" state="visible" r:id="rId26"/>
    <sheet xmlns:r="http://schemas.openxmlformats.org/officeDocument/2006/relationships" name="Coverage_v1_3" sheetId="27" state="visible" r:id="rId27"/>
    <sheet xmlns:r="http://schemas.openxmlformats.org/officeDocument/2006/relationships" name="Expansion_Notes_v1_3" sheetId="28" state="visible" r:id="rId28"/>
    <sheet xmlns:r="http://schemas.openxmlformats.org/officeDocument/2006/relationships" name="Expansion_v1_4" sheetId="29" state="visible" r:id="rId29"/>
    <sheet xmlns:r="http://schemas.openxmlformats.org/officeDocument/2006/relationships" name="Analysis_v1_4" sheetId="30" state="visible" r:id="rId30"/>
    <sheet xmlns:r="http://schemas.openxmlformats.org/officeDocument/2006/relationships" name="Analysis_Questions_v1_4" sheetId="31" state="visible" r:id="rId31"/>
    <sheet xmlns:r="http://schemas.openxmlformats.org/officeDocument/2006/relationships" name="Coverage_v1_4" sheetId="32" state="visible" r:id="rId32"/>
    <sheet xmlns:r="http://schemas.openxmlformats.org/officeDocument/2006/relationships" name="CrossSet_Codebook" sheetId="33" state="visible" r:id="rId33"/>
    <sheet xmlns:r="http://schemas.openxmlformats.org/officeDocument/2006/relationships" name="CrossSet_Set2_Coding" sheetId="34" state="visible" r:id="rId34"/>
    <sheet xmlns:r="http://schemas.openxmlformats.org/officeDocument/2006/relationships" name="CrossSet_Set3_Coding" sheetId="35" state="visible" r:id="rId35"/>
    <sheet xmlns:r="http://schemas.openxmlformats.org/officeDocument/2006/relationships" name="CrossSet_Summary" sheetId="36" state="visible" r:id="rId36"/>
    <sheet xmlns:r="http://schemas.openxmlformats.org/officeDocument/2006/relationships" name="CrossSet_Findings" sheetId="37" state="visible" r:id="rId37"/>
    <sheet xmlns:r="http://schemas.openxmlformats.org/officeDocument/2006/relationships" name="CrossSet_Questions" sheetId="38" state="visible" r:id="rId38"/>
    <sheet xmlns:r="http://schemas.openxmlformats.org/officeDocument/2006/relationships" name="Comparator_Codebook" sheetId="39" state="visible" r:id="rId39"/>
    <sheet xmlns:r="http://schemas.openxmlformats.org/officeDocument/2006/relationships" name="Comparator_Corpus" sheetId="40" state="visible" r:id="rId40"/>
    <sheet xmlns:r="http://schemas.openxmlformats.org/officeDocument/2006/relationships" name="Comparator_Summary" sheetId="41" state="visible" r:id="rId41"/>
    <sheet xmlns:r="http://schemas.openxmlformats.org/officeDocument/2006/relationships" name="Comparator_Findings" sheetId="42" state="visible" r:id="rId42"/>
    <sheet xmlns:r="http://schemas.openxmlformats.org/officeDocument/2006/relationships" name="Comparator_vs_AISec" sheetId="43" state="visible" r:id="rId43"/>
    <sheet xmlns:r="http://schemas.openxmlformats.org/officeDocument/2006/relationships" name="Coverage_v1_6" sheetId="44" state="visible" r:id="rId44"/>
    <sheet xmlns:r="http://schemas.openxmlformats.org/officeDocument/2006/relationships" name="Matched_Codebook" sheetId="45" state="visible" r:id="rId45"/>
    <sheet xmlns:r="http://schemas.openxmlformats.org/officeDocument/2006/relationships" name="Matched_Stage_Detail" sheetId="46" state="visible" r:id="rId46"/>
    <sheet xmlns:r="http://schemas.openxmlformats.org/officeDocument/2006/relationships" name="Matched_Chains" sheetId="47" state="visible" r:id="rId47"/>
    <sheet xmlns:r="http://schemas.openxmlformats.org/officeDocument/2006/relationships" name="Matched_Summary" sheetId="48" state="visible" r:id="rId48"/>
    <sheet xmlns:r="http://schemas.openxmlformats.org/officeDocument/2006/relationships" name="Matched_Findings" sheetId="49" state="visible" r:id="rId49"/>
    <sheet xmlns:r="http://schemas.openxmlformats.org/officeDocument/2006/relationships" name="Coverage_v1_7" sheetId="50" state="visible" r:id="rId50"/>
  </sheets>
  <definedNames>
    <definedName name="_xlnm._FilterDatabase" localSheetId="0" hidden="1">'Set1_Funding_Pilot'!$A$1:$Y$11</definedName>
    <definedName name="_xlnm._FilterDatabase" localSheetId="1" hidden="1">'Sources'!$A$1:$E$25</definedName>
    <definedName name="_xlnm._FilterDatabase" localSheetId="3" hidden="1">'Coding_Guide'!$A$1:$B$8</definedName>
    <definedName name="_xlnm._FilterDatabase" localSheetId="4" hidden="1">'Funder_Problem_Frames'!$A$1:$D$6</definedName>
    <definedName name="_xlnm._FilterDatabase" localSheetId="6" hidden="1">'Schema_v1_Common'!$A$1:$B$24</definedName>
    <definedName name="_xlnm._FilterDatabase" localSheetId="7" hidden="1">'Set1_Schema_v1'!$A$1:$B$21</definedName>
    <definedName name="_xlnm._FilterDatabase" localSheetId="8" hidden="1">'Set2_Eval_Pilot'!$A$1:$Z$12</definedName>
    <definedName name="_xlnm._FilterDatabase" localSheetId="9" hidden="1">'Set2_Schema_v1'!$A$1:$B$16</definedName>
    <definedName name="_xlnm._FilterDatabase" localSheetId="10" hidden="1">'Set3_Trajectory_Pilot'!$A$1:$AB$11</definedName>
    <definedName name="_xlnm._FilterDatabase" localSheetId="11" hidden="1">'Set3_Schema_v1'!$A$1:$B$20</definedName>
    <definedName name="_xlnm._FilterDatabase" localSheetId="12" hidden="1">'Crosswalk'!$A$1:$D$8</definedName>
    <definedName name="_xlnm._FilterDatabase" localSheetId="13" hidden="1">'Revision_Log'!$A$1:$D$8</definedName>
    <definedName name="_xlnm._FilterDatabase" localSheetId="14" hidden="1">'Source_Archive'!$A$1:$G$22</definedName>
    <definedName name="_xlnm._FilterDatabase" localSheetId="16" hidden="1">'Schema_Review_v1_1'!$A$1:$F$13</definedName>
    <definedName name="_xlnm._FilterDatabase" localSheetId="17" hidden="1">'Schema_v1_1_Common'!$A$1:$B$31</definedName>
    <definedName name="_xlnm._FilterDatabase" localSheetId="18" hidden="1">'Set1_Schema_v1_1'!$A$1:$B$25</definedName>
    <definedName name="_xlnm._FilterDatabase" localSheetId="19" hidden="1">'Set2_Schema_v1_1'!$A$1:$B$27</definedName>
    <definedName name="_xlnm._FilterDatabase" localSheetId="20" hidden="1">'Set3_Schema_v1_1'!$A$1:$B$29</definedName>
    <definedName name="_xlnm._FilterDatabase" localSheetId="21" hidden="1">'Set2_Eval_Pilot_v1_1'!$A$1:$AJ$19</definedName>
    <definedName name="_xlnm._FilterDatabase" localSheetId="22" hidden="1">'Set3_Trajectory_Pilot_v1_1'!$A$1:$AH$16</definedName>
    <definedName name="_xlnm._FilterDatabase" localSheetId="23" hidden="1">'Set1_Funding_Pilot_v1_1'!$A$1:$AF$31</definedName>
    <definedName name="_xlnm._FilterDatabase" localSheetId="24" hidden="1">'QC_v1_1'!$A$1:$C$9</definedName>
    <definedName name="_xlnm._FilterDatabase" localSheetId="33" hidden="1">'CrossSet_Set2_Coding'!$A$1:$O$43</definedName>
    <definedName name="_xlnm._FilterDatabase" localSheetId="34" hidden="1">'CrossSet_Set3_Coding'!$A$1:$N$43</definedName>
    <definedName name="_xlnm._FilterDatabase" localSheetId="36" hidden="1">'CrossSet_Findings'!$A$1:$D$9</definedName>
    <definedName name="_xlnm._FilterDatabase" localSheetId="37" hidden="1">'CrossSet_Questions'!$A$1:$D$11</definedName>
    <definedName name="_xlnm._FilterDatabase" localSheetId="39" hidden="1">'Comparator_Corpus'!$A$1:$U$31</definedName>
    <definedName name="_xlnm._FilterDatabase" localSheetId="44" hidden="1">'Matched_Codebook'!$A$1:$B$13</definedName>
    <definedName name="_xlnm._FilterDatabase" localSheetId="45" hidden="1">'Matched_Stage_Detail'!$A$1:$K$18</definedName>
    <definedName name="_xlnm._FilterDatabase" localSheetId="46" hidden="1">'Matched_Chains'!$A$1:$I$7</definedName>
    <definedName name="_xlnm._FilterDatabase" localSheetId="48" hidden="1">'Matched_Findings'!$A$1:$D$7</definedName>
    <definedName name="_xlnm._FilterDatabase" localSheetId="49" hidden="1">'Coverage_v1_7'!$A$1:$C$9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08000"/>
      <u val="single"/>
    </font>
    <font>
      <b val="1"/>
      <color rgb="00FFFFFF"/>
      <sz val="16"/>
    </font>
    <font>
      <b val="1"/>
    </font>
    <font>
      <b val="1"/>
      <color rgb="0017365D"/>
      <sz val="16"/>
    </font>
    <font>
      <i val="1"/>
      <color rgb="00666666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3" fillId="3" borderId="0" pivotButton="0" quotePrefix="0" xfId="0"/>
    <xf numFmtId="0" fontId="0" fillId="4" borderId="0" applyAlignment="1" pivotButton="0" quotePrefix="0" xfId="0">
      <alignment wrapText="1"/>
    </xf>
    <xf numFmtId="0" fontId="1" fillId="3" borderId="0" pivotButton="0" quotePrefix="0" xfId="0"/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1" fillId="3" borderId="0" applyAlignment="1" pivotButton="0" quotePrefix="0" xfId="0">
      <alignment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Evaluation corpus by configuration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'CrossSet_Summary'!B25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'CrossSet_Summary'!$A$26:$A$29</f>
            </numRef>
          </cat>
          <val>
            <numRef>
              <f>'CrossSet_Summary'!$B$26:$B$29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Configuration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34" customHeight="1">
      <c r="A1" s="4" t="inlineStr">
        <is>
          <t>id</t>
        </is>
      </c>
      <c r="B1" s="4" t="inlineStr">
        <is>
          <t>funder</t>
        </is>
      </c>
      <c r="C1" s="4" t="inlineStr">
        <is>
          <t>program</t>
        </is>
      </c>
      <c r="D1" s="4" t="inlineStr">
        <is>
          <t>year</t>
        </is>
      </c>
      <c r="E1" s="4" t="inlineStr">
        <is>
          <t>recipient</t>
        </is>
      </c>
      <c r="F1" s="4" t="inlineStr">
        <is>
          <t>output</t>
        </is>
      </c>
      <c r="G1" s="4" t="inlineStr">
        <is>
          <t>output_type</t>
        </is>
      </c>
      <c r="H1" s="4" t="inlineStr">
        <is>
          <t>funding_strength</t>
        </is>
      </c>
      <c r="I1" s="4" t="inlineStr">
        <is>
          <t>threat</t>
        </is>
      </c>
      <c r="J1" s="4" t="inlineStr">
        <is>
          <t>construct</t>
        </is>
      </c>
      <c r="K1" s="4" t="inlineStr">
        <is>
          <t>measurement</t>
        </is>
      </c>
      <c r="L1" s="4" t="inlineStr">
        <is>
          <t>evidence</t>
        </is>
      </c>
      <c r="M1" s="4" t="inlineStr">
        <is>
          <t>configuration</t>
        </is>
      </c>
      <c r="N1" s="4" t="inlineStr">
        <is>
          <t>claim</t>
        </is>
      </c>
      <c r="O1" s="4" t="inlineStr">
        <is>
          <t>demonstration</t>
        </is>
      </c>
      <c r="P1" s="4" t="inlineStr">
        <is>
          <t>validation</t>
        </is>
      </c>
      <c r="Q1" s="4" t="inlineStr">
        <is>
          <t>security_link</t>
        </is>
      </c>
      <c r="R1" s="4" t="inlineStr">
        <is>
          <t>boundary_sensitivity</t>
        </is>
      </c>
      <c r="S1" s="4" t="inlineStr">
        <is>
          <t>theory_chain</t>
        </is>
      </c>
      <c r="T1" s="4" t="inlineStr">
        <is>
          <t>source_url</t>
        </is>
      </c>
      <c r="U1" s="4" t="inlineStr">
        <is>
          <t>funder_url</t>
        </is>
      </c>
      <c r="V1" s="4" t="inlineStr">
        <is>
          <t>full_text_url</t>
        </is>
      </c>
      <c r="W1" s="4" t="inlineStr">
        <is>
          <t>full_text_local</t>
        </is>
      </c>
      <c r="X1" s="4" t="inlineStr">
        <is>
          <t>provenance</t>
        </is>
      </c>
      <c r="Y1" s="4" t="inlineStr">
        <is>
          <t>notes</t>
        </is>
      </c>
    </row>
    <row r="2" ht="60" customHeight="1">
      <c r="A2" s="2" t="inlineStr">
        <is>
          <t>P01</t>
        </is>
      </c>
      <c r="B2" s="2" t="inlineStr">
        <is>
          <t>Coefficient Giving / Open Philanthropy</t>
        </is>
      </c>
      <c r="C2" s="2" t="inlineStr">
        <is>
          <t>AI safety &amp; security grantmaking</t>
        </is>
      </c>
      <c r="D2" s="2" t="inlineStr">
        <is>
          <t>2024-2025</t>
        </is>
      </c>
      <c r="E2" s="2" t="inlineStr">
        <is>
          <t>FutureHouse</t>
        </is>
      </c>
      <c r="F2" s="2" t="inlineStr">
        <is>
          <t>LAB-Bench: Measuring Capabilities of Language Models for Biology Research</t>
        </is>
      </c>
      <c r="G2" s="2" t="inlineStr">
        <is>
          <t>Benchmark paper</t>
        </is>
      </c>
      <c r="H2" s="2" t="inlineStr">
        <is>
          <t>Directly identified by funder as supported work</t>
        </is>
      </c>
      <c r="I2" s="2" t="inlineStr">
        <is>
          <t>AI-enabled biology capability / potential misuse</t>
        </is>
      </c>
      <c r="J2" s="2" t="inlineStr">
        <is>
          <t>Practical biology research capability</t>
        </is>
      </c>
      <c r="K2" s="2" t="inlineStr">
        <is>
          <t>2,400+ multiple-choice questions across literature, figures, databases, protocols, sequences, cloning scenarios</t>
        </is>
      </c>
      <c r="L2" s="2" t="inlineStr">
        <is>
          <t>Benchmark + expert-human comparison</t>
        </is>
      </c>
      <c r="M2" s="2" t="inlineStr">
        <is>
          <t>Model-only in primary reported evaluation; some tasks are tool-dependent conceptually</t>
        </is>
      </c>
      <c r="N2" s="2" t="inlineStr">
        <is>
          <t>High benchmark performance indicates useful biology research assistance; funder later frames LAB-Bench as a pre-deployment bio-risk evaluation tool</t>
        </is>
      </c>
      <c r="O2" s="2" t="inlineStr">
        <is>
          <t>Measures model performance on a curated set of practical-biology questions; does not directly demonstrate wet-lab execution or biosecurity harm</t>
        </is>
      </c>
      <c r="P2" s="2" t="inlineStr">
        <is>
          <t>Expert-human comparison; task design intended to reflect practical research; limited direct workflow or predictive validation</t>
        </is>
      </c>
      <c r="Q2" s="2" t="inlineStr">
        <is>
          <t>Indirect: capability benchmark -&gt; possible biological uplift/misuse risk</t>
        </is>
      </c>
      <c r="R2" s="2" t="inlineStr">
        <is>
          <t>High</t>
        </is>
      </c>
      <c r="S2" s="2" t="inlineStr">
        <is>
          <t>AI-bio misuse threat -&gt; practical biology capability -&gt; benchmark score -&gt; inferred research assistance/uplift -&gt; biosecurity relevance</t>
        </is>
      </c>
      <c r="T2" s="3" t="inlineStr">
        <is>
          <t>https://arxiv.org/abs/2407.10362</t>
        </is>
      </c>
      <c r="U2" s="3" t="inlineStr">
        <is>
          <t>https://coefficientgiving.org/research/ai-safety-and-security-need-more-funders/</t>
        </is>
      </c>
      <c r="V2" s="3" t="inlineStr">
        <is>
          <t>https://arxiv.org/pdf/2407.10362</t>
        </is>
      </c>
      <c r="W2" s="2" t="inlineStr">
        <is>
          <t>Not locally archived in this runtime; canonical full-text link captured</t>
        </is>
      </c>
      <c r="X2" s="2" t="inlineStr">
        <is>
          <t>Funder page + paper</t>
        </is>
      </c>
      <c r="Y2" s="2" t="inlineStr">
        <is>
          <t>Useful proxy/construct case; paper itself calls several tasks necessary but not sufficient for useful AI science systems.</t>
        </is>
      </c>
    </row>
    <row r="3" ht="60" customHeight="1">
      <c r="A3" s="2" t="inlineStr">
        <is>
          <t>P02</t>
        </is>
      </c>
      <c r="B3" s="2" t="inlineStr">
        <is>
          <t>Coefficient Giving / Open Philanthropy</t>
        </is>
      </c>
      <c r="C3" s="2" t="inlineStr">
        <is>
          <t>AI safety &amp; security grantmaking</t>
        </is>
      </c>
      <c r="D3" s="2" t="inlineStr">
        <is>
          <t>2024-2025</t>
        </is>
      </c>
      <c r="E3" s="2" t="inlineStr">
        <is>
          <t>Stanford / Percy Liang et al.</t>
        </is>
      </c>
      <c r="F3" s="2" t="inlineStr">
        <is>
          <t>Cybench: A Framework for Evaluating Cybersecurity Capabilities and Risks of Language Models</t>
        </is>
      </c>
      <c r="G3" s="2" t="inlineStr">
        <is>
          <t>Benchmark paper</t>
        </is>
      </c>
      <c r="H3" s="2" t="inlineStr">
        <is>
          <t>Directly identified by funder as supported work</t>
        </is>
      </c>
      <c r="I3" s="2" t="inlineStr">
        <is>
          <t>AI-enabled offensive cyber capability</t>
        </is>
      </c>
      <c r="J3" s="2" t="inlineStr">
        <is>
          <t>Autonomous cybersecurity task capability</t>
        </is>
      </c>
      <c r="K3" s="2" t="inlineStr">
        <is>
          <t>CTF-style cybersecurity tasks executed by language-model agents</t>
        </is>
      </c>
      <c r="L3" s="2" t="inlineStr">
        <is>
          <t>Agent benchmark</t>
        </is>
      </c>
      <c r="M3" s="2" t="inlineStr">
        <is>
          <t>Agent + tools/environment</t>
        </is>
      </c>
      <c r="N3" s="2" t="inlineStr">
        <is>
          <t>Quantifies cybersecurity capabilities and risks; funder says it has become a fixture in pre-deployment cyber-risk evaluations</t>
        </is>
      </c>
      <c r="O3" s="2" t="inlineStr">
        <is>
          <t>Measures agent success on benchmarked cyber tasks</t>
        </is>
      </c>
      <c r="P3" s="2" t="inlineStr">
        <is>
          <t>Task realism stronger than QA-only benchmarks; downstream real-world attack prediction remains separate question</t>
        </is>
      </c>
      <c r="Q3" s="2" t="inlineStr">
        <is>
          <t>Moderate/indirect: task success -&gt; offensive capability -&gt; cyber risk</t>
        </is>
      </c>
      <c r="R3" s="2" t="inlineStr">
        <is>
          <t>Moderate</t>
        </is>
      </c>
      <c r="S3" s="2" t="inlineStr">
        <is>
          <t>Cyber misuse threat -&gt; agent cyber capability -&gt; CTF task success -&gt; inferred real-world offensive capability -&gt; deployment risk decision</t>
        </is>
      </c>
      <c r="T3" s="3" t="inlineStr">
        <is>
          <t>https://arxiv.org/abs/2408.08926</t>
        </is>
      </c>
      <c r="U3" s="3" t="inlineStr">
        <is>
          <t>https://coefficientgiving.org/research/ai-safety-and-security-need-more-funders/</t>
        </is>
      </c>
      <c r="V3" s="3" t="inlineStr">
        <is>
          <t>https://arxiv.org/pdf/2408.08926</t>
        </is>
      </c>
      <c r="W3" s="2" t="inlineStr">
        <is>
          <t>Not locally archived in this runtime; canonical full-text link captured</t>
        </is>
      </c>
      <c r="X3" s="2" t="inlineStr">
        <is>
          <t>Funder page + paper</t>
        </is>
      </c>
      <c r="Y3" s="2" t="inlineStr">
        <is>
          <t>Good comparison case because evaluation includes agent/environment interaction rather than only static QA.</t>
        </is>
      </c>
    </row>
    <row r="4" ht="60" customHeight="1">
      <c r="A4" s="2" t="inlineStr">
        <is>
          <t>P03</t>
        </is>
      </c>
      <c r="B4" s="2" t="inlineStr">
        <is>
          <t>AI Safety Fund / Frontier Model Forum</t>
        </is>
      </c>
      <c r="C4" s="2" t="inlineStr">
        <is>
          <t>AI-bio grantmaking</t>
        </is>
      </c>
      <c r="D4" s="2" t="inlineStr">
        <is>
          <t>2024-2025</t>
        </is>
      </c>
      <c r="E4" s="2" t="inlineStr">
        <is>
          <t>SecureBio AIxBio</t>
        </is>
      </c>
      <c r="F4" s="2" t="inlineStr">
        <is>
          <t>Virology Capabilities Test (VCT): A Multimodal Virology Q&amp;A Benchmark</t>
        </is>
      </c>
      <c r="G4" s="2" t="inlineStr">
        <is>
          <t>Benchmark paper</t>
        </is>
      </c>
      <c r="H4" s="2" t="inlineStr">
        <is>
          <t>Direct FMF/AISF support stated by funder</t>
        </is>
      </c>
      <c r="I4" s="2" t="inlineStr">
        <is>
          <t>Frontier models enabling dangerous virology work</t>
        </is>
      </c>
      <c r="J4" s="2" t="inlineStr">
        <is>
          <t>Practical virology troubleshooting capability</t>
        </is>
      </c>
      <c r="K4" s="2" t="inlineStr">
        <is>
          <t>322 multimodal expert-authored questions covering tacit, visual, and procedural virology knowledge</t>
        </is>
      </c>
      <c r="L4" s="2" t="inlineStr">
        <is>
          <t>Benchmark + expert-human comparison</t>
        </is>
      </c>
      <c r="M4" s="2" t="inlineStr">
        <is>
          <t>Model-only multimodal QA</t>
        </is>
      </c>
      <c r="N4" s="2" t="inlineStr">
        <is>
          <t>Frontier models can outperform expert virologists on this benchmark; capability should inform dual-use governance</t>
        </is>
      </c>
      <c r="O4" s="2" t="inlineStr">
        <is>
          <t>Shows model accuracy above expert average on VCT questions</t>
        </is>
      </c>
      <c r="P4" s="2" t="inlineStr">
        <is>
          <t>Strong expert construction/comparison; no direct demonstration of wet-lab execution or misuse outcome</t>
        </is>
      </c>
      <c r="Q4" s="2" t="inlineStr">
        <is>
          <t>Indirect but explicit: troubleshooting knowledge -&gt; potential lab assistance -&gt; misuse risk</t>
        </is>
      </c>
      <c r="R4" s="2" t="inlineStr">
        <is>
          <t>High</t>
        </is>
      </c>
      <c r="S4" s="2" t="inlineStr">
        <is>
          <t>Virology misuse threat -&gt; troubleshooting capability -&gt; VCT score -&gt; inferred practical assistance -&gt; governance/safeguard implication</t>
        </is>
      </c>
      <c r="T4" s="3" t="inlineStr">
        <is>
          <t>https://arxiv.org/abs/2504.16137</t>
        </is>
      </c>
      <c r="U4" s="3" t="inlineStr">
        <is>
          <t>https://www.frontiermodelforum.org/updates/latest-from-the-fmf-grant-making-to-address-ai-bio-risk-challenges/</t>
        </is>
      </c>
      <c r="V4" s="3" t="inlineStr">
        <is>
          <t>https://arxiv.org/pdf/2504.16137</t>
        </is>
      </c>
      <c r="W4" s="2" t="inlineStr">
        <is>
          <t>Not locally archived in this runtime; canonical full-text link captured</t>
        </is>
      </c>
      <c r="X4" s="2" t="inlineStr">
        <is>
          <t>FMF page + paper</t>
        </is>
      </c>
      <c r="Y4" s="2" t="inlineStr">
        <is>
          <t>Excellent case for claim-demonstration distance: practical troubleshooting benchmark is closer to workflow than general knowledge, but still not physical execution.</t>
        </is>
      </c>
    </row>
    <row r="5" ht="60" customHeight="1">
      <c r="A5" s="2" t="inlineStr">
        <is>
          <t>P04</t>
        </is>
      </c>
      <c r="B5" s="2" t="inlineStr">
        <is>
          <t>AI Safety Fund / Frontier Model Forum</t>
        </is>
      </c>
      <c r="C5" s="2" t="inlineStr">
        <is>
          <t>AI-bio grantmaking</t>
        </is>
      </c>
      <c r="D5" s="2" t="inlineStr">
        <is>
          <t>2024-2025</t>
        </is>
      </c>
      <c r="E5" s="2" t="inlineStr">
        <is>
          <t>Nemesys Insights</t>
        </is>
      </c>
      <c r="F5" s="2" t="inlineStr">
        <is>
          <t>Biothreat Benchmark Generation Framework I &amp; II / Bacterial Biothreat Benchmark</t>
        </is>
      </c>
      <c r="G5" s="2" t="inlineStr">
        <is>
          <t>Framework + benchmark papers</t>
        </is>
      </c>
      <c r="H5" s="2" t="inlineStr">
        <is>
          <t>Direct FMF/AISF support stated by funder</t>
        </is>
      </c>
      <c r="I5" s="2" t="inlineStr">
        <is>
          <t>AI facilitation of bacterial biothreat development</t>
        </is>
      </c>
      <c r="J5" s="2" t="inlineStr">
        <is>
          <t>Biosecurity-relevant uplift potential across a biothreat task chain</t>
        </is>
      </c>
      <c r="K5" s="2" t="inlineStr">
        <is>
          <t>Task-query architecture and 1,010 benchmark prompts selected from &gt;7,000 candidates</t>
        </is>
      </c>
      <c r="L5" s="2" t="inlineStr">
        <is>
          <t>Structured benchmark-generation methodology</t>
        </is>
      </c>
      <c r="M5" s="2" t="inlineStr">
        <is>
          <t>Model-level prompts mapped to an operational threat architecture</t>
        </is>
      </c>
      <c r="N5" s="2" t="inlineStr">
        <is>
          <t>Framework can assess biosecurity risk uplift and harm potential while accounting for actor capability and operational factors</t>
        </is>
      </c>
      <c r="O5" s="2" t="inlineStr">
        <is>
          <t>Creates a structured prompt set and taxonomy; does not itself establish actual uplift or downstream security consequences</t>
        </is>
      </c>
      <c r="P5" s="2" t="inlineStr">
        <is>
          <t>Expert design and uplift-diagnostic filtering; implementation/evaluation evidence is separate/forthcoming</t>
        </is>
      </c>
      <c r="Q5" s="2" t="inlineStr">
        <is>
          <t>Indirect: threat-chain coverage -&gt; benchmark performance -&gt; inferred uplift/harm potential</t>
        </is>
      </c>
      <c r="R5" s="2" t="inlineStr">
        <is>
          <t>High</t>
        </is>
      </c>
      <c r="S5" s="2" t="inlineStr">
        <is>
          <t>Biothreat threat model -&gt; task-query architecture -&gt; prompt benchmark -&gt; model performance -&gt; inferred biosecurity uplift</t>
        </is>
      </c>
      <c r="T5" s="3" t="inlineStr">
        <is>
          <t>https://arxiv.org/abs/2512.08130 ; https://arxiv.org/abs/2512.08451</t>
        </is>
      </c>
      <c r="U5" s="3" t="inlineStr">
        <is>
          <t>https://www.frontiermodelforum.org/updates/latest-from-the-fmf-grant-making-to-address-ai-bio-risk-challenges/</t>
        </is>
      </c>
      <c r="V5" s="3" t="inlineStr">
        <is>
          <t>https://arxiv.org/pdf/2512.08130 ; https://arxiv.org/pdf/2512.08451</t>
        </is>
      </c>
      <c r="W5" s="2" t="inlineStr">
        <is>
          <t>Not locally archived in this runtime; canonical full-text links captured</t>
        </is>
      </c>
      <c r="X5" s="2" t="inlineStr">
        <is>
          <t>FMF page + two papers</t>
        </is>
      </c>
      <c r="Y5" s="2" t="inlineStr">
        <is>
          <t>Particularly useful for examining whether a rich threat taxonomy improves security validity versus simply benchmark coverage.</t>
        </is>
      </c>
    </row>
    <row r="6" ht="60" customHeight="1">
      <c r="A6" s="2" t="inlineStr">
        <is>
          <t>P05</t>
        </is>
      </c>
      <c r="B6" s="2" t="inlineStr">
        <is>
          <t>Frontier Model Forum + Sentinel Bio</t>
        </is>
      </c>
      <c r="C6" s="2" t="inlineStr">
        <is>
          <t>AI-bio wet-lab study</t>
        </is>
      </c>
      <c r="D6" s="2" t="inlineStr">
        <is>
          <t>2025-2026</t>
        </is>
      </c>
      <c r="E6" s="2" t="inlineStr">
        <is>
          <t>Sentinel Bio</t>
        </is>
      </c>
      <c r="F6" s="2" t="inlineStr">
        <is>
          <t>Large-scale wet-lab human uplift study</t>
        </is>
      </c>
      <c r="G6" s="2" t="inlineStr">
        <is>
          <t>Ongoing experimental study</t>
        </is>
      </c>
      <c r="H6" s="2" t="inlineStr">
        <is>
          <t>Direct funding stated by FMF</t>
        </is>
      </c>
      <c r="I6" s="2" t="inlineStr">
        <is>
          <t>AI uplift of non-experts to perform advanced biological tasks</t>
        </is>
      </c>
      <c r="J6" s="2" t="inlineStr">
        <is>
          <t>Human capability uplift in physical biology</t>
        </is>
      </c>
      <c r="K6" s="2" t="inlineStr">
        <is>
          <t>Novice participants complete a defined multi-step BSL-2 procedure with multimodal AI vs internet-only control</t>
        </is>
      </c>
      <c r="L6" s="2" t="inlineStr">
        <is>
          <t>Controlled human wet-lab experiment</t>
        </is>
      </c>
      <c r="M6" s="2" t="inlineStr">
        <is>
          <t>Human + AI + physical lab workflow</t>
        </is>
      </c>
      <c r="N6" s="2" t="inlineStr">
        <is>
          <t>Intended to assess whether AI meaningfully uplifts wet-lab capabilities of novices and inform misuse risk/safeguards</t>
        </is>
      </c>
      <c r="O6" s="2" t="inlineStr">
        <is>
          <t>Study design announced; results not yet public in cited source</t>
        </is>
      </c>
      <c r="P6" s="2" t="inlineStr">
        <is>
          <t>Potentially high ecological relevance within bounded task; results pending</t>
        </is>
      </c>
      <c r="Q6" s="2" t="inlineStr">
        <is>
          <t>Directly tests one critical arrow: AI access -&gt; human physical-biological task performance</t>
        </is>
      </c>
      <c r="R6" s="2" t="inlineStr">
        <is>
          <t>Moderate</t>
        </is>
      </c>
      <c r="S6" s="2" t="inlineStr">
        <is>
          <t>Bio misuse threat -&gt; AI assistance -&gt; novice wet-lab performance -&gt; inferred capability uplift -&gt; safeguard implication</t>
        </is>
      </c>
      <c r="T6" s="3" t="inlineStr">
        <is>
          <t>https://www.frontiermodelforum.org/updates/latest-from-the-fmf-grant-making-to-address-ai-bio-risk-challenges/</t>
        </is>
      </c>
      <c r="U6" s="3" t="inlineStr">
        <is>
          <t>https://www.frontiermodelforum.org/updates/latest-from-the-fmf-grant-making-to-address-ai-bio-risk-challenges/</t>
        </is>
      </c>
      <c r="V6" s="3" t="inlineStr">
        <is>
          <t>https://www.frontiermodelforum.org/updates/latest-from-the-fmf-grant-making-to-address-ai-bio-risk-challenges/</t>
        </is>
      </c>
      <c r="W6" s="2" t="inlineStr">
        <is>
          <t>Official announcement link captured; no public full study text/results yet</t>
        </is>
      </c>
      <c r="X6" s="2" t="inlineStr">
        <is>
          <t>FMF official announcement</t>
        </is>
      </c>
      <c r="Y6" s="2" t="inlineStr">
        <is>
          <t>Important transition from benchmark to workflow/physical execution.</t>
        </is>
      </c>
    </row>
    <row r="7" ht="60" customHeight="1">
      <c r="A7" s="2" t="inlineStr">
        <is>
          <t>P06</t>
        </is>
      </c>
      <c r="B7" s="2" t="inlineStr">
        <is>
          <t>CSET</t>
        </is>
      </c>
      <c r="C7" s="2" t="inlineStr">
        <is>
          <t>Foundational Research Grants</t>
        </is>
      </c>
      <c r="D7" s="2" t="inlineStr">
        <is>
          <t>2026</t>
        </is>
      </c>
      <c r="E7" s="2" t="inlineStr">
        <is>
          <t>FAR.AI</t>
        </is>
      </c>
      <c r="F7" s="2" t="inlineStr">
        <is>
          <t>AI Persuasion as a Threat to Human Control</t>
        </is>
      </c>
      <c r="G7" s="2" t="inlineStr">
        <is>
          <t>Threat model + expert elicitation + preliminary eval</t>
        </is>
      </c>
      <c r="H7" s="2" t="inlineStr">
        <is>
          <t>Paper states supported by CSET grant AWD-7773402-GR297212</t>
        </is>
      </c>
      <c r="I7" s="2" t="inlineStr">
        <is>
          <t>AI persuasion undermining human control of AI systems</t>
        </is>
      </c>
      <c r="J7" s="2" t="inlineStr">
        <is>
          <t>Persuasion-induced control-undermining decisions</t>
        </is>
      </c>
      <c r="K7" s="2" t="inlineStr">
        <is>
          <t>Five scenarios; expert elicitation (8 included participants); LLM-only preliminary manipulation-detection setups</t>
        </is>
      </c>
      <c r="L7" s="2" t="inlineStr">
        <is>
          <t>Threat modeling + expert survey + synthetic LLM evaluation</t>
        </is>
      </c>
      <c r="M7" s="2" t="inlineStr">
        <is>
          <t>Human-AI control relationship conceptually; preliminary eval is LLM actor + LLM judge</t>
        </is>
      </c>
      <c r="N7" s="2" t="inlineStr">
        <is>
          <t>Persuasion is a credible emerging threat to human control and can be made empirically assessable</t>
        </is>
      </c>
      <c r="O7" s="2" t="inlineStr">
        <is>
          <t>Builds framework/scenarios; experts disagree substantially; preliminary LLM setup shows source/context affects manipulation detection; no human persuasion experiment yet</t>
        </is>
      </c>
      <c r="P7" s="2" t="inlineStr">
        <is>
          <t>Exploratory; authors explicitly flag ecological-validity challenges and leave human studies for future work</t>
        </is>
      </c>
      <c r="Q7" s="2" t="inlineStr">
        <is>
          <t>Long chain from synthetic persuasion setup to loss-of-control risk remains largely hypothesized</t>
        </is>
      </c>
      <c r="R7" s="2" t="inlineStr">
        <is>
          <t>Very high</t>
        </is>
      </c>
      <c r="S7" s="2" t="inlineStr">
        <is>
          <t>Loss-of-control concern -&gt; persuasion pathway -&gt; scenario variables -&gt; synthetic eval/expert estimate -&gt; inferred control risk -&gt; mitigations</t>
        </is>
      </c>
      <c r="T7" s="3" t="inlineStr">
        <is>
          <t>https://arxiv.org/abs/2609.14796</t>
        </is>
      </c>
      <c r="U7" s="3" t="inlineStr">
        <is>
          <t>https://cset.georgetown.edu/foundational-research-grants/</t>
        </is>
      </c>
      <c r="V7" s="3" t="inlineStr">
        <is>
          <t>https://arxiv.org/pdf/2609.14796</t>
        </is>
      </c>
      <c r="W7" s="2" t="inlineStr">
        <is>
          <t>sources/papers/PUC_AI_Persuasion_2609.14796.pdf</t>
        </is>
      </c>
      <c r="X7" s="2" t="inlineStr">
        <is>
          <t>Paper + CSET program page</t>
        </is>
      </c>
      <c r="Y7" s="2" t="inlineStr">
        <is>
          <t>Strong pilot for separating framework sophistication from demonstrated real-world security effect.</t>
        </is>
      </c>
    </row>
    <row r="8" ht="60" customHeight="1">
      <c r="A8" s="2" t="inlineStr">
        <is>
          <t>P07</t>
        </is>
      </c>
      <c r="B8" s="2" t="inlineStr">
        <is>
          <t>CSET</t>
        </is>
      </c>
      <c r="C8" s="2" t="inlineStr">
        <is>
          <t>Foundational Research Grants</t>
        </is>
      </c>
      <c r="D8" s="2" t="inlineStr">
        <is>
          <t>2023</t>
        </is>
      </c>
      <c r="E8" s="2" t="inlineStr">
        <is>
          <t>Stanford Intelligent Systems Laboratory (Corso, Kochenderfer et al.)</t>
        </is>
      </c>
      <c r="F8" s="2" t="inlineStr">
        <is>
          <t>A Holistic Assessment of the Reliability of Machine Learning Systems</t>
        </is>
      </c>
      <c r="G8" s="2" t="inlineStr">
        <is>
          <t>Empirical reliability paper</t>
        </is>
      </c>
      <c r="H8" s="2" t="inlineStr">
        <is>
          <t>CSET explicitly states study was supported by CSET funding</t>
        </is>
      </c>
      <c r="I8" s="2" t="inlineStr">
        <is>
          <t>Unreliable ML in high-stakes systems</t>
        </is>
      </c>
      <c r="J8" s="2" t="inlineStr">
        <is>
          <t>Reliability as multi-dimensional property</t>
        </is>
      </c>
      <c r="K8" s="2" t="inlineStr">
        <is>
          <t>Five properties: in-distribution accuracy, distribution-shift robustness, adversarial robustness, calibration, OOD detection; &gt;500 models</t>
        </is>
      </c>
      <c r="L8" s="2" t="inlineStr">
        <is>
          <t>Large empirical comparative study</t>
        </is>
      </c>
      <c r="M8" s="2" t="inlineStr">
        <is>
          <t>Model-level across datasets/training strategies</t>
        </is>
      </c>
      <c r="N8" s="2" t="inlineStr">
        <is>
          <t>Optimizing one reliability metric does not ensure others; reliability is not a single easy-to-measure property</t>
        </is>
      </c>
      <c r="O8" s="2" t="inlineStr">
        <is>
          <t>Empirically shows weak/non-universal coupling across reliability metrics and algorithmic approaches</t>
        </is>
      </c>
      <c r="P8" s="2" t="inlineStr">
        <is>
          <t>Broad model/dataset comparison; still model-level rather than deployment-level</t>
        </is>
      </c>
      <c r="Q8" s="2" t="inlineStr">
        <is>
          <t>Methodological/security relevance through evaluation validity rather than direct catastrophic-risk claim</t>
        </is>
      </c>
      <c r="R8" s="2" t="inlineStr">
        <is>
          <t>Moderate</t>
        </is>
      </c>
      <c r="S8" s="2" t="inlineStr">
        <is>
          <t>High-stakes reliability concern -&gt; multidimensional construct -&gt; five metrics -&gt; cross-model empirical comparison -&gt; limits of single-metric assurance</t>
        </is>
      </c>
      <c r="T8" s="3" t="inlineStr">
        <is>
          <t>https://arxiv.org/abs/2307.10586</t>
        </is>
      </c>
      <c r="U8" s="3" t="inlineStr">
        <is>
          <t>https://cset.georgetown.edu/article/why-improving-ai-reliability-metrics-may-not-lead-to-reliability/</t>
        </is>
      </c>
      <c r="V8" s="3" t="inlineStr">
        <is>
          <t>https://arxiv.org/pdf/2307.10586</t>
        </is>
      </c>
      <c r="W8" s="2" t="inlineStr">
        <is>
          <t>Not locally archived in this runtime; canonical full-text link captured</t>
        </is>
      </c>
      <c r="X8" s="2" t="inlineStr">
        <is>
          <t>CSET article + paper</t>
        </is>
      </c>
      <c r="Y8" s="2" t="inlineStr">
        <is>
          <t>Excellent methodological comparator for our proxy/construct-validity analysis.</t>
        </is>
      </c>
    </row>
    <row r="9" ht="60" customHeight="1">
      <c r="A9" s="2" t="inlineStr">
        <is>
          <t>P08</t>
        </is>
      </c>
      <c r="B9" s="2" t="inlineStr">
        <is>
          <t>Schmidt Sciences</t>
        </is>
      </c>
      <c r="C9" s="2" t="inlineStr">
        <is>
          <t>Science of Trustworthy AI</t>
        </is>
      </c>
      <c r="D9" s="2" t="inlineStr">
        <is>
          <t>2025</t>
        </is>
      </c>
      <c r="E9" s="2" t="inlineStr">
        <is>
          <t>Florian Tramèr et al., ETH Zurich</t>
        </is>
      </c>
      <c r="F9" s="2" t="inlineStr">
        <is>
          <t>Defeating Prompt Injections by Design (CaMeL)</t>
        </is>
      </c>
      <c r="G9" s="2" t="inlineStr">
        <is>
          <t>Security method paper</t>
        </is>
      </c>
      <c r="H9" s="2" t="inlineStr">
        <is>
          <t>Listed by Schmidt Sciences as a Science of Trustworthy AI program publication/project</t>
        </is>
      </c>
      <c r="I9" s="2" t="inlineStr">
        <is>
          <t>Prompt injection against AI agents with tool/data access</t>
        </is>
      </c>
      <c r="J9" s="2" t="inlineStr">
        <is>
          <t>System-level resistance to untrusted-data control-flow attacks</t>
        </is>
      </c>
      <c r="K9" s="2" t="inlineStr">
        <is>
          <t>AgentDojo tasks with explicit control/data-flow separation and capability-based data-flow restrictions</t>
        </is>
      </c>
      <c r="L9" s="2" t="inlineStr">
        <is>
          <t>Technical system design + benchmark evaluation + security argument</t>
        </is>
      </c>
      <c r="M9" s="2" t="inlineStr">
        <is>
          <t>Agent + system layer + tools/data</t>
        </is>
      </c>
      <c r="N9" s="2" t="inlineStr">
        <is>
          <t>A protective system layer can provide strong/provable resistance to prompt injection while retaining task utility</t>
        </is>
      </c>
      <c r="O9" s="2" t="inlineStr">
        <is>
          <t>CaMeL solves a substantial subset of benchmark tasks with stated security guarantees under its model</t>
        </is>
      </c>
      <c r="P9" s="2" t="inlineStr">
        <is>
          <t>Stronger system-level technical validity; deployment generalization remains separate</t>
        </is>
      </c>
      <c r="Q9" s="2" t="inlineStr">
        <is>
          <t>Relatively direct within scoped threat model</t>
        </is>
      </c>
      <c r="R9" s="2" t="inlineStr">
        <is>
          <t>Moderate</t>
        </is>
      </c>
      <c r="S9" s="2" t="inlineStr">
        <is>
          <t>Prompt-injection threat -&gt; control/data-flow separation -&gt; secure agent architecture -&gt; benchmark/security guarantee -&gt; safer deployment</t>
        </is>
      </c>
      <c r="T9" s="3" t="inlineStr">
        <is>
          <t>https://arxiv.org/abs/2503.18813</t>
        </is>
      </c>
      <c r="U9" s="3" t="inlineStr">
        <is>
          <t>https://www.schmidtsciences.org/profile-2025/florian-tramer/</t>
        </is>
      </c>
      <c r="V9" s="3" t="inlineStr">
        <is>
          <t>https://arxiv.org/pdf/2503.18813</t>
        </is>
      </c>
      <c r="W9" s="2" t="inlineStr">
        <is>
          <t>Not locally archived in this runtime; canonical full-text link captured</t>
        </is>
      </c>
      <c r="X9" s="2" t="inlineStr">
        <is>
          <t>Schmidt project/publication page + paper</t>
        </is>
      </c>
      <c r="Y9" s="2" t="inlineStr">
        <is>
          <t>Useful counterexample to purely proxy-based eval work: intervention is tied to a concrete control-flow threat model.</t>
        </is>
      </c>
    </row>
    <row r="10" ht="60" customHeight="1">
      <c r="A10" s="2" t="inlineStr">
        <is>
          <t>P09</t>
        </is>
      </c>
      <c r="B10" s="2" t="inlineStr">
        <is>
          <t>Schmidt Sciences</t>
        </is>
      </c>
      <c r="C10" s="2" t="inlineStr">
        <is>
          <t>Science of Trustworthy AI</t>
        </is>
      </c>
      <c r="D10" s="2" t="inlineStr">
        <is>
          <t>2025-2026</t>
        </is>
      </c>
      <c r="E10" s="2" t="inlineStr">
        <is>
          <t>FAR.AI / Kellin Pelrine &amp; collaborators</t>
        </is>
      </c>
      <c r="F10" s="2" t="inlineStr">
        <is>
          <t>AI-driven deception and disinformation research program</t>
        </is>
      </c>
      <c r="G10" s="2" t="inlineStr">
        <is>
          <t>Funded research project</t>
        </is>
      </c>
      <c r="H10" s="2" t="inlineStr">
        <is>
          <t>Direct grantee page</t>
        </is>
      </c>
      <c r="I10" s="2" t="inlineStr">
        <is>
          <t>AI deception, disinformation, persuasion vulnerabilities</t>
        </is>
      </c>
      <c r="J10" s="2" t="inlineStr">
        <is>
          <t>Deception/disinformation risk and mitigations</t>
        </is>
      </c>
      <c r="K10" s="2" t="inlineStr">
        <is>
          <t>Project description promises realistic data, rigorous experimentation, mitigations and platform development</t>
        </is>
      </c>
      <c r="L10" s="2" t="inlineStr">
        <is>
          <t>Project-level; individual outputs need lineage tracing</t>
        </is>
      </c>
      <c r="M10" s="2" t="inlineStr">
        <is>
          <t>Likely human-AI / model / sociotechnical, output dependent</t>
        </is>
      </c>
      <c r="N10" s="2" t="inlineStr">
        <is>
          <t>Assess risks, develop mitigations, provide platform for future action</t>
        </is>
      </c>
      <c r="O10" s="2" t="inlineStr">
        <is>
          <t>Not attributable from grantee page alone</t>
        </is>
      </c>
      <c r="P10" s="2" t="inlineStr">
        <is>
          <t>To be determined from linked publications</t>
        </is>
      </c>
      <c r="Q10" s="2" t="inlineStr">
        <is>
          <t>To be coded per output</t>
        </is>
      </c>
      <c r="R10" s="2" t="inlineStr">
        <is>
          <t>High</t>
        </is>
      </c>
      <c r="S10" s="2" t="inlineStr">
        <is>
          <t>Deception/disinfo concern -&gt; funded research program -&gt; evaluations/mitigations -&gt; intended trustworthy AI impact</t>
        </is>
      </c>
      <c r="T10" s="3" t="inlineStr">
        <is>
          <t>https://www.schmidtsciences.org/grantee/kellin-pelrine/</t>
        </is>
      </c>
      <c r="U10" s="3" t="inlineStr">
        <is>
          <t>https://www.schmidtsciences.org/trustworthy-ai/</t>
        </is>
      </c>
      <c r="V10" s="3" t="inlineStr">
        <is>
          <t>https://www.schmidtsciences.org/grantee/kellin-pelrine/</t>
        </is>
      </c>
      <c r="W10" s="2" t="inlineStr">
        <is>
          <t>Official project page link captured</t>
        </is>
      </c>
      <c r="X10" s="2" t="inlineStr">
        <is>
          <t>Schmidt grantee page</t>
        </is>
      </c>
      <c r="Y10" s="2" t="inlineStr">
        <is>
          <t>Lineage case: same researcher ecosystem intersects Schmidt and CSET/FAR.AI work; do not assume a specific paper was funded unless acknowledgement confirms it.</t>
        </is>
      </c>
    </row>
    <row r="11" ht="60" customHeight="1">
      <c r="A11" s="2" t="inlineStr">
        <is>
          <t>P10</t>
        </is>
      </c>
      <c r="B11" s="2" t="inlineStr">
        <is>
          <t>Survival and Flourishing Fund</t>
        </is>
      </c>
      <c r="C11" s="2" t="inlineStr">
        <is>
          <t>SFF-2025</t>
        </is>
      </c>
      <c r="D11" s="2" t="inlineStr">
        <is>
          <t>2025</t>
        </is>
      </c>
      <c r="E11" s="2" t="inlineStr">
        <is>
          <t>SecureBio</t>
        </is>
      </c>
      <c r="F11" s="2" t="inlineStr">
        <is>
          <t>General support of SecureBio</t>
        </is>
      </c>
      <c r="G11" s="2" t="inlineStr">
        <is>
          <t>Organizational grant</t>
        </is>
      </c>
      <c r="H11" s="2" t="inlineStr">
        <is>
          <t>General organizational support only; no paper-level attribution justified</t>
        </is>
      </c>
      <c r="I11" s="2" t="inlineStr">
        <is>
          <t>Broad biosecurity / AI-bio risk work of recipient</t>
        </is>
      </c>
      <c r="J11" s="2" t="inlineStr">
        <is>
          <t>N/A at grant level</t>
        </is>
      </c>
      <c r="K11" s="2" t="inlineStr">
        <is>
          <t>N/A</t>
        </is>
      </c>
      <c r="L11" s="2" t="inlineStr">
        <is>
          <t>Funding record</t>
        </is>
      </c>
      <c r="M11" s="2" t="inlineStr">
        <is>
          <t>N/A</t>
        </is>
      </c>
      <c r="N11" s="2" t="inlineStr">
        <is>
          <t>SFF recommended $754,000 general support (per public grants page)</t>
        </is>
      </c>
      <c r="O11" s="2" t="inlineStr">
        <is>
          <t>Funding relationship only</t>
        </is>
      </c>
      <c r="P11" s="2" t="inlineStr">
        <is>
          <t>N/A</t>
        </is>
      </c>
      <c r="Q11" s="2" t="inlineStr">
        <is>
          <t>Cannot attribute particular SecureBio paper/output to this grant without direct acknowledgement</t>
        </is>
      </c>
      <c r="R11" s="2" t="inlineStr">
        <is>
          <t>N/A</t>
        </is>
      </c>
      <c r="S11" s="2" t="inlineStr">
        <is>
          <t>Funder worldview -&gt; organizational support -&gt; portfolio of research/operations -&gt; downstream outputs (requires lineage tracing)</t>
        </is>
      </c>
      <c r="T11" s="3" t="inlineStr">
        <is>
          <t>https://survivalandflourishing.fund/recommendations</t>
        </is>
      </c>
      <c r="U11" s="3" t="inlineStr">
        <is>
          <t>https://survivalandflourishing.fund/recommendations</t>
        </is>
      </c>
      <c r="V11" s="3" t="inlineStr">
        <is>
          <t>https://survivalandflourishing.fund/recommendations</t>
        </is>
      </c>
      <c r="W11" s="2" t="inlineStr">
        <is>
          <t>Official grants page link captured</t>
        </is>
      </c>
      <c r="X11" s="2" t="inlineStr">
        <is>
          <t>SFF grants page</t>
        </is>
      </c>
      <c r="Y11" s="2" t="inlineStr">
        <is>
          <t>Important negative-control style case for funding attribution strength; must not overclaim paper-level causality.</t>
        </is>
      </c>
    </row>
  </sheetData>
  <autoFilter ref="A1:Y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4" customHeight="1">
      <c r="A1" s="4" t="inlineStr">
        <is>
          <t>Organization</t>
        </is>
      </c>
      <c r="B1" s="4" t="inlineStr">
        <is>
          <t>Source title</t>
        </is>
      </c>
      <c r="C1" s="4" t="inlineStr">
        <is>
          <t>URL</t>
        </is>
      </c>
      <c r="D1" s="4" t="inlineStr">
        <is>
          <t>Source type</t>
        </is>
      </c>
      <c r="E1" s="4" t="inlineStr">
        <is>
          <t>Notes</t>
        </is>
      </c>
    </row>
    <row r="2" ht="36" customHeight="1">
      <c r="A2" s="2" t="inlineStr">
        <is>
          <t>Coefficient Giving</t>
        </is>
      </c>
      <c r="B2" s="2" t="inlineStr">
        <is>
          <t>AI Safety and Security Need More Funders</t>
        </is>
      </c>
      <c r="C2" s="3" t="inlineStr">
        <is>
          <t>https://coefficientgiving.org/research/ai-safety-and-security-need-more-funders/</t>
        </is>
      </c>
      <c r="D2" s="2" t="inlineStr">
        <is>
          <t>Official funder page</t>
        </is>
      </c>
      <c r="E2" s="2" t="inlineStr">
        <is>
          <t>Funding rationale and explicit examples incl. Cybench and LAB-Bench</t>
        </is>
      </c>
    </row>
    <row r="3" ht="36" customHeight="1">
      <c r="A3" s="2" t="inlineStr">
        <is>
          <t>Coefficient Giving</t>
        </is>
      </c>
      <c r="B3" s="2" t="inlineStr">
        <is>
          <t>2025 Technical AI Safety RFP</t>
        </is>
      </c>
      <c r="C3" s="3" t="inlineStr">
        <is>
          <t>https://coefficientgiving.org/funds/navigating-transformative-ai/request-for-proposals-technical-ai-safety-research/</t>
        </is>
      </c>
      <c r="D3" s="2" t="inlineStr">
        <is>
          <t>Official RFP</t>
        </is>
      </c>
      <c r="E3" s="2" t="inlineStr">
        <is>
          <t>Research agenda / threat framing</t>
        </is>
      </c>
    </row>
    <row r="4" ht="36" customHeight="1">
      <c r="A4" s="2" t="inlineStr">
        <is>
          <t>Coefficient Giving</t>
        </is>
      </c>
      <c r="B4" s="2" t="inlineStr">
        <is>
          <t>TAIS RFP Research Areas</t>
        </is>
      </c>
      <c r="C4" s="3" t="inlineStr">
        <is>
          <t>https://coefficientgiving.org/tais-rfp-research-areas/</t>
        </is>
      </c>
      <c r="D4" s="2" t="inlineStr">
        <is>
          <t>Official RFP detail</t>
        </is>
      </c>
      <c r="E4" s="2" t="inlineStr">
        <is>
          <t>Detailed priority areas</t>
        </is>
      </c>
    </row>
    <row r="5" ht="36" customHeight="1">
      <c r="A5" s="2" t="inlineStr">
        <is>
          <t>Schmidt Sciences</t>
        </is>
      </c>
      <c r="B5" s="2" t="inlineStr">
        <is>
          <t>Science of Trustworthy AI</t>
        </is>
      </c>
      <c r="C5" s="3" t="inlineStr">
        <is>
          <t>https://www.schmidtsciences.org/trustworthy-ai/</t>
        </is>
      </c>
      <c r="D5" s="2" t="inlineStr">
        <is>
          <t>Official program page</t>
        </is>
      </c>
      <c r="E5" s="2" t="inlineStr">
        <is>
          <t>Program goals incl. construct/predictive validity</t>
        </is>
      </c>
    </row>
    <row r="6" ht="36" customHeight="1">
      <c r="A6" s="2" t="inlineStr">
        <is>
          <t>Schmidt Sciences</t>
        </is>
      </c>
      <c r="B6" s="2" t="inlineStr">
        <is>
          <t>Trustworthy AI Research Agenda</t>
        </is>
      </c>
      <c r="C6" s="3" t="inlineStr">
        <is>
          <t>https://www.schmidtsciences.org/trustworthy-ai-research-agenda/</t>
        </is>
      </c>
      <c r="D6" s="2" t="inlineStr">
        <is>
          <t>Official research agenda</t>
        </is>
      </c>
      <c r="E6" s="2" t="inlineStr">
        <is>
          <t>2026 evaluation-science priorities</t>
        </is>
      </c>
    </row>
    <row r="7" ht="36" customHeight="1">
      <c r="A7" s="2" t="inlineStr">
        <is>
          <t>Schmidt Sciences</t>
        </is>
      </c>
      <c r="B7" s="2" t="inlineStr">
        <is>
          <t>2025 AI Safety Science announcement</t>
        </is>
      </c>
      <c r="C7" s="3" t="inlineStr">
        <is>
          <t>https://www.schmidtsciences.org/new-10-million-ai-safety-science-program-launched-for-foundational-research/</t>
        </is>
      </c>
      <c r="D7" s="2" t="inlineStr">
        <is>
          <t>Official announcement</t>
        </is>
      </c>
      <c r="E7" s="2" t="inlineStr">
        <is>
          <t>27 initial projects</t>
        </is>
      </c>
    </row>
    <row r="8" ht="36" customHeight="1">
      <c r="A8" s="2" t="inlineStr">
        <is>
          <t>Schmidt Sciences</t>
        </is>
      </c>
      <c r="B8" s="2" t="inlineStr">
        <is>
          <t>CaMeL impact profile</t>
        </is>
      </c>
      <c r="C8" s="3" t="inlineStr">
        <is>
          <t>https://www.schmidtsciences.org/profile-2025/florian-tramer/</t>
        </is>
      </c>
      <c r="D8" s="2" t="inlineStr">
        <is>
          <t>Official project profile</t>
        </is>
      </c>
      <c r="E8" s="2" t="inlineStr">
        <is>
          <t>Links Schmidt support to CaMeL</t>
        </is>
      </c>
    </row>
    <row r="9" ht="36" customHeight="1">
      <c r="A9" s="2" t="inlineStr">
        <is>
          <t>Schmidt Sciences</t>
        </is>
      </c>
      <c r="B9" s="2" t="inlineStr">
        <is>
          <t>Kellin Pelrine grantee page</t>
        </is>
      </c>
      <c r="C9" s="3" t="inlineStr">
        <is>
          <t>https://www.schmidtsciences.org/grantee/kellin-pelrine/</t>
        </is>
      </c>
      <c r="D9" s="2" t="inlineStr">
        <is>
          <t>Official grantee page</t>
        </is>
      </c>
      <c r="E9" s="2" t="inlineStr">
        <is>
          <t>FAR.AI deception/disinformation project</t>
        </is>
      </c>
    </row>
    <row r="10" ht="36" customHeight="1">
      <c r="A10" s="2" t="inlineStr">
        <is>
          <t>SFF</t>
        </is>
      </c>
      <c r="B10" s="2" t="inlineStr">
        <is>
          <t>Recommendations / Grants</t>
        </is>
      </c>
      <c r="C10" s="3" t="inlineStr">
        <is>
          <t>https://survivalandflourishing.fund/recommendations</t>
        </is>
      </c>
      <c r="D10" s="2" t="inlineStr">
        <is>
          <t>Official grants database</t>
        </is>
      </c>
      <c r="E10" s="2" t="inlineStr">
        <is>
          <t>Grant records incl. SecureBio general support</t>
        </is>
      </c>
    </row>
    <row r="11" ht="36" customHeight="1">
      <c r="A11" s="2" t="inlineStr">
        <is>
          <t>SFF</t>
        </is>
      </c>
      <c r="B11" s="2" t="inlineStr">
        <is>
          <t>Flexible Hardware-Enabled Guarantees RFP</t>
        </is>
      </c>
      <c r="C11" s="3" t="inlineStr">
        <is>
          <t>https://survivalandflourishing.fund/2024/flexhegs-application</t>
        </is>
      </c>
      <c r="D11" s="2" t="inlineStr">
        <is>
          <t>Official RFP</t>
        </is>
      </c>
      <c r="E11" s="2" t="inlineStr">
        <is>
          <t>Example targeted technical governance program</t>
        </is>
      </c>
    </row>
    <row r="12" ht="36" customHeight="1">
      <c r="A12" s="2" t="inlineStr">
        <is>
          <t>CSET</t>
        </is>
      </c>
      <c r="B12" s="2" t="inlineStr">
        <is>
          <t>Foundational Research Grants</t>
        </is>
      </c>
      <c r="C12" s="3" t="inlineStr">
        <is>
          <t>https://cset.georgetown.edu/foundational-research-grants/</t>
        </is>
      </c>
      <c r="D12" s="2" t="inlineStr">
        <is>
          <t>Official program page</t>
        </is>
      </c>
      <c r="E12" s="2" t="inlineStr">
        <is>
          <t>Current areas and grantee list</t>
        </is>
      </c>
    </row>
    <row r="13" ht="36" customHeight="1">
      <c r="A13" s="2" t="inlineStr">
        <is>
          <t>CSET</t>
        </is>
      </c>
      <c r="B13" s="2" t="inlineStr">
        <is>
          <t>Why Improving AI Reliability Metrics May Not Lead to Reliability</t>
        </is>
      </c>
      <c r="C13" s="3" t="inlineStr">
        <is>
          <t>https://cset.georgetown.edu/article/why-improving-ai-reliability-metrics-may-not-lead-to-reliability/</t>
        </is>
      </c>
      <c r="D13" s="2" t="inlineStr">
        <is>
          <t>Official CSET summary</t>
        </is>
      </c>
      <c r="E13" s="2" t="inlineStr">
        <is>
          <t>Explicit funding attribution to Stanford reliability study</t>
        </is>
      </c>
    </row>
    <row r="14" ht="36" customHeight="1">
      <c r="A14" s="2" t="inlineStr">
        <is>
          <t>CSET</t>
        </is>
      </c>
      <c r="B14" s="2" t="inlineStr">
        <is>
          <t>Internal Deployment FRG call</t>
        </is>
      </c>
      <c r="C14" s="3" t="inlineStr">
        <is>
          <t>https://cset.georgetown.edu/wp-content/uploads/FRG-Call-for-Research-Ideas-Internal-Deployment.pdf</t>
        </is>
      </c>
      <c r="D14" s="2" t="inlineStr">
        <is>
          <t>Official RFP PDF</t>
        </is>
      </c>
      <c r="E14" s="2" t="inlineStr">
        <is>
          <t>Threat framing for internal deployment</t>
        </is>
      </c>
    </row>
    <row r="15" ht="36" customHeight="1">
      <c r="A15" s="2" t="inlineStr">
        <is>
          <t>FMF/AISF</t>
        </is>
      </c>
      <c r="B15" s="2" t="inlineStr">
        <is>
          <t>AI Safety Fund</t>
        </is>
      </c>
      <c r="C15" s="3" t="inlineStr">
        <is>
          <t>https://www.frontiermodelforum.org/ai-safety-fund/</t>
        </is>
      </c>
      <c r="D15" s="2" t="inlineStr">
        <is>
          <t>Official fund page</t>
        </is>
      </c>
      <c r="E15" s="2" t="inlineStr">
        <is>
          <t>Funding structure / rounds</t>
        </is>
      </c>
    </row>
    <row r="16" ht="36" customHeight="1">
      <c r="A16" s="2" t="inlineStr">
        <is>
          <t>FMF/AISF</t>
        </is>
      </c>
      <c r="B16" s="2" t="inlineStr">
        <is>
          <t>AI-Bio grantmaking update</t>
        </is>
      </c>
      <c r="C16" s="3" t="inlineStr">
        <is>
          <t>https://www.frontiermodelforum.org/updates/latest-from-the-fmf-grant-making-to-address-ai-bio-risk-challenges/</t>
        </is>
      </c>
      <c r="D16" s="2" t="inlineStr">
        <is>
          <t>Official announcement</t>
        </is>
      </c>
      <c r="E16" s="2" t="inlineStr">
        <is>
          <t>VCT, BBG, wet-lab uplift</t>
        </is>
      </c>
    </row>
    <row r="17" ht="36" customHeight="1">
      <c r="A17" s="2" t="inlineStr">
        <is>
          <t>FMF/AISF</t>
        </is>
      </c>
      <c r="B17" s="2" t="inlineStr">
        <is>
          <t>Round 2 grantees announcement</t>
        </is>
      </c>
      <c r="C17" s="3" t="inlineStr">
        <is>
          <t>https://www.frontiermodelforum.org/updates/announcement-of-new-ai-safety-fund-grantees/</t>
        </is>
      </c>
      <c r="D17" s="2" t="inlineStr">
        <is>
          <t>Official announcement</t>
        </is>
      </c>
      <c r="E17" s="2" t="inlineStr">
        <is>
          <t>11 grantees across bio/cyber/agents/etc.</t>
        </is>
      </c>
    </row>
    <row r="18" ht="36" customHeight="1">
      <c r="A18" s="2" t="inlineStr">
        <is>
          <t>Paper</t>
        </is>
      </c>
      <c r="B18" s="2" t="inlineStr">
        <is>
          <t>LAB-Bench</t>
        </is>
      </c>
      <c r="C18" s="3" t="inlineStr">
        <is>
          <t>https://arxiv.org/abs/2407.10362</t>
        </is>
      </c>
      <c r="D18" s="2" t="inlineStr">
        <is>
          <t>Paper landing page</t>
        </is>
      </c>
      <c r="E18" s="2" t="inlineStr">
        <is>
          <t>Full text PDF: https://arxiv.org/pdf/2407.10362</t>
        </is>
      </c>
    </row>
    <row r="19" ht="36" customHeight="1">
      <c r="A19" s="2" t="inlineStr">
        <is>
          <t>Paper</t>
        </is>
      </c>
      <c r="B19" s="2" t="inlineStr">
        <is>
          <t>Cybench</t>
        </is>
      </c>
      <c r="C19" s="3" t="inlineStr">
        <is>
          <t>https://arxiv.org/abs/2408.08926</t>
        </is>
      </c>
      <c r="D19" s="2" t="inlineStr">
        <is>
          <t>Paper landing page</t>
        </is>
      </c>
      <c r="E19" s="2" t="inlineStr">
        <is>
          <t>Full text PDF: https://arxiv.org/pdf/2408.08926</t>
        </is>
      </c>
    </row>
    <row r="20" ht="36" customHeight="1">
      <c r="A20" s="2" t="inlineStr">
        <is>
          <t>Paper</t>
        </is>
      </c>
      <c r="B20" s="2" t="inlineStr">
        <is>
          <t>VCT</t>
        </is>
      </c>
      <c r="C20" s="3" t="inlineStr">
        <is>
          <t>https://arxiv.org/abs/2504.16137</t>
        </is>
      </c>
      <c r="D20" s="2" t="inlineStr">
        <is>
          <t>Paper landing page</t>
        </is>
      </c>
      <c r="E20" s="2" t="inlineStr">
        <is>
          <t>Full text PDF: https://arxiv.org/pdf/2504.16137</t>
        </is>
      </c>
    </row>
    <row r="21" ht="36" customHeight="1">
      <c r="A21" s="2" t="inlineStr">
        <is>
          <t>Paper</t>
        </is>
      </c>
      <c r="B21" s="2" t="inlineStr">
        <is>
          <t>BBG I</t>
        </is>
      </c>
      <c r="C21" s="3" t="inlineStr">
        <is>
          <t>https://arxiv.org/abs/2512.08130</t>
        </is>
      </c>
      <c r="D21" s="2" t="inlineStr">
        <is>
          <t>Paper landing page</t>
        </is>
      </c>
      <c r="E21" s="2" t="inlineStr">
        <is>
          <t>Full text PDF: https://arxiv.org/pdf/2512.08130</t>
        </is>
      </c>
    </row>
    <row r="22" ht="36" customHeight="1">
      <c r="A22" s="2" t="inlineStr">
        <is>
          <t>Paper</t>
        </is>
      </c>
      <c r="B22" s="2" t="inlineStr">
        <is>
          <t>BBG II</t>
        </is>
      </c>
      <c r="C22" s="3" t="inlineStr">
        <is>
          <t>https://arxiv.org/abs/2512.08451</t>
        </is>
      </c>
      <c r="D22" s="2" t="inlineStr">
        <is>
          <t>Paper landing page</t>
        </is>
      </c>
      <c r="E22" s="2" t="inlineStr">
        <is>
          <t>Full text PDF: https://arxiv.org/pdf/2512.08451</t>
        </is>
      </c>
    </row>
    <row r="23" ht="36" customHeight="1">
      <c r="A23" s="2" t="inlineStr">
        <is>
          <t>Paper</t>
        </is>
      </c>
      <c r="B23" s="2" t="inlineStr">
        <is>
          <t>A Holistic Assessment of ML Reliability</t>
        </is>
      </c>
      <c r="C23" s="3" t="inlineStr">
        <is>
          <t>https://arxiv.org/abs/2307.10586</t>
        </is>
      </c>
      <c r="D23" s="2" t="inlineStr">
        <is>
          <t>Paper landing page</t>
        </is>
      </c>
      <c r="E23" s="2" t="inlineStr">
        <is>
          <t>Full text PDF: https://arxiv.org/pdf/2307.10586</t>
        </is>
      </c>
    </row>
    <row r="24" ht="36" customHeight="1">
      <c r="A24" s="2" t="inlineStr">
        <is>
          <t>Paper</t>
        </is>
      </c>
      <c r="B24" s="2" t="inlineStr">
        <is>
          <t>Defeating Prompt Injections by Design</t>
        </is>
      </c>
      <c r="C24" s="3" t="inlineStr">
        <is>
          <t>https://arxiv.org/abs/2503.18813</t>
        </is>
      </c>
      <c r="D24" s="2" t="inlineStr">
        <is>
          <t>Paper landing page</t>
        </is>
      </c>
      <c r="E24" s="2" t="inlineStr">
        <is>
          <t>Full text PDF: https://arxiv.org/pdf/2503.18813</t>
        </is>
      </c>
    </row>
    <row r="25" ht="36" customHeight="1">
      <c r="A25" s="2" t="inlineStr">
        <is>
          <t>Paper</t>
        </is>
      </c>
      <c r="B25" s="2" t="inlineStr">
        <is>
          <t>AI Persuasion as a Threat to Human Control</t>
        </is>
      </c>
      <c r="C25" s="3" t="inlineStr">
        <is>
          <t>https://arxiv.org/abs/2609.14796</t>
        </is>
      </c>
      <c r="D25" s="2" t="inlineStr">
        <is>
          <t>Paper landing page</t>
        </is>
      </c>
      <c r="E25" s="2" t="inlineStr">
        <is>
          <t>Local full text archived from user-provided PDF</t>
        </is>
      </c>
    </row>
    <row r="26">
      <c r="A26" t="inlineStr">
        <is>
          <t>v1.3 expansion source</t>
        </is>
      </c>
      <c r="B26" t="inlineStr">
        <is>
          <t>https://www.schmidtsciences.org/grantee/sanjeev-arora/</t>
        </is>
      </c>
    </row>
    <row r="27">
      <c r="A27" t="inlineStr">
        <is>
          <t>v1.3 expansion source</t>
        </is>
      </c>
      <c r="B27" t="inlineStr">
        <is>
          <t>https://www.schmidtsciences.org/grantee/sanjeev-arora/</t>
        </is>
      </c>
    </row>
    <row r="28">
      <c r="A28" t="inlineStr">
        <is>
          <t>v1.3 expansion source</t>
        </is>
      </c>
      <c r="B28" t="inlineStr">
        <is>
          <t>https://www.schmidtsciences.org/grantee/eugene-bagdasarian/</t>
        </is>
      </c>
    </row>
    <row r="29">
      <c r="A29" t="inlineStr">
        <is>
          <t>v1.3 expansion source</t>
        </is>
      </c>
      <c r="B29" t="inlineStr">
        <is>
          <t>https://www.schmidtsciences.org/grantee/eugene-bagdasarian/</t>
        </is>
      </c>
    </row>
    <row r="30">
      <c r="A30" t="inlineStr">
        <is>
          <t>v1.3 expansion source</t>
        </is>
      </c>
      <c r="B30" t="inlineStr">
        <is>
          <t>https://www.schmidtsciences.org/grantee/anna-leshinskaya/</t>
        </is>
      </c>
    </row>
    <row r="31">
      <c r="A31" t="inlineStr">
        <is>
          <t>v1.3 expansion source</t>
        </is>
      </c>
      <c r="B31" t="inlineStr">
        <is>
          <t>https://www.schmidtsciences.org/grantee/anna-leshinskaya/</t>
        </is>
      </c>
    </row>
    <row r="32">
      <c r="A32" t="inlineStr">
        <is>
          <t>v1.3 expansion source</t>
        </is>
      </c>
      <c r="B32" t="inlineStr">
        <is>
          <t>https://www.schmidtsciences.org/grantee/tatsu-hashimoto/</t>
        </is>
      </c>
    </row>
    <row r="33">
      <c r="A33" t="inlineStr">
        <is>
          <t>v1.3 expansion source</t>
        </is>
      </c>
      <c r="B33" t="inlineStr">
        <is>
          <t>https://www.schmidtsciences.org/grantee/tatsu-hashimoto/</t>
        </is>
      </c>
    </row>
    <row r="34">
      <c r="A34" t="inlineStr">
        <is>
          <t>v1.3 expansion source</t>
        </is>
      </c>
      <c r="B34" t="inlineStr">
        <is>
          <t>https://www.schmidtsciences.org/grantee/yu-su/</t>
        </is>
      </c>
    </row>
    <row r="35">
      <c r="A35" t="inlineStr">
        <is>
          <t>v1.3 expansion source</t>
        </is>
      </c>
      <c r="B35" t="inlineStr">
        <is>
          <t>https://www.schmidtsciences.org/grantee/yu-su/</t>
        </is>
      </c>
    </row>
    <row r="36">
      <c r="A36" t="inlineStr">
        <is>
          <t>v1.3 expansion source</t>
        </is>
      </c>
      <c r="B36" t="inlineStr">
        <is>
          <t>https://www.schmidtsciences.org/grantee/evan-miyazono/</t>
        </is>
      </c>
    </row>
    <row r="37">
      <c r="A37" t="inlineStr">
        <is>
          <t>v1.3 expansion source</t>
        </is>
      </c>
      <c r="B37" t="inlineStr">
        <is>
          <t>https://www.schmidtsciences.org/grantee/evan-miyazono/</t>
        </is>
      </c>
    </row>
    <row r="38">
      <c r="A38" t="inlineStr">
        <is>
          <t>v1.3 expansion source</t>
        </is>
      </c>
      <c r="B38" t="inlineStr">
        <is>
          <t>https://www.schmidtsciences.org/grantee/dawn-song/</t>
        </is>
      </c>
    </row>
    <row r="39">
      <c r="A39" t="inlineStr">
        <is>
          <t>v1.3 expansion source</t>
        </is>
      </c>
      <c r="B39" t="inlineStr">
        <is>
          <t>https://www.schmidtsciences.org/grantee/dawn-song/</t>
        </is>
      </c>
    </row>
    <row r="40">
      <c r="A40" t="inlineStr">
        <is>
          <t>v1.3 expansion source</t>
        </is>
      </c>
      <c r="B40" t="inlineStr">
        <is>
          <t>https://www.schmidtsciences.org/grantee/matthias-hein/</t>
        </is>
      </c>
    </row>
    <row r="41">
      <c r="A41" t="inlineStr">
        <is>
          <t>v1.3 expansion source</t>
        </is>
      </c>
      <c r="B41" t="inlineStr">
        <is>
          <t>https://www.schmidtsciences.org/grantee/matthias-hein/</t>
        </is>
      </c>
    </row>
    <row r="42">
      <c r="A42" t="inlineStr">
        <is>
          <t>v1.3 expansion source</t>
        </is>
      </c>
      <c r="B42" t="inlineStr">
        <is>
          <t>https://www.schmidtsciences.org/grantee/zhijing-jin/</t>
        </is>
      </c>
    </row>
    <row r="43">
      <c r="A43" t="inlineStr">
        <is>
          <t>v1.3 expansion source</t>
        </is>
      </c>
      <c r="B43" t="inlineStr">
        <is>
          <t>https://www.schmidtsciences.org/grantee/zhijing-jin/</t>
        </is>
      </c>
    </row>
    <row r="44">
      <c r="A44" t="inlineStr">
        <is>
          <t>v1.3 expansion source</t>
        </is>
      </c>
      <c r="B44" t="inlineStr">
        <is>
          <t>https://www.schmidtsciences.org/grantee/sharon-li/</t>
        </is>
      </c>
    </row>
    <row r="45">
      <c r="A45" t="inlineStr">
        <is>
          <t>v1.3 expansion source</t>
        </is>
      </c>
      <c r="B45" t="inlineStr">
        <is>
          <t>https://www.schmidtsciences.org/grantee/sharon-li/</t>
        </is>
      </c>
    </row>
    <row r="46">
      <c r="A46" t="inlineStr">
        <is>
          <t>v1.3 expansion source</t>
        </is>
      </c>
      <c r="B46" t="inlineStr">
        <is>
          <t>https://www.schmidtsciences.org/grantee/karthik-narasimhan/</t>
        </is>
      </c>
    </row>
    <row r="47">
      <c r="A47" t="inlineStr">
        <is>
          <t>v1.3 expansion source</t>
        </is>
      </c>
      <c r="B47" t="inlineStr">
        <is>
          <t>https://www.schmidtsciences.org/grantee/karthik-narasimhan/</t>
        </is>
      </c>
    </row>
    <row r="48">
      <c r="A48" t="inlineStr">
        <is>
          <t>v1.3 expansion source</t>
        </is>
      </c>
      <c r="B48" t="inlineStr">
        <is>
          <t>https://www.schmidtsciences.org/grantee/arvind-narayanan/</t>
        </is>
      </c>
    </row>
    <row r="49">
      <c r="A49" t="inlineStr">
        <is>
          <t>v1.3 expansion source</t>
        </is>
      </c>
      <c r="B49" t="inlineStr">
        <is>
          <t>https://www.schmidtsciences.org/grantee/arvind-narayanan/</t>
        </is>
      </c>
    </row>
    <row r="50">
      <c r="A50" t="inlineStr">
        <is>
          <t>v1.3 expansion source</t>
        </is>
      </c>
      <c r="B50" t="inlineStr">
        <is>
          <t>https://www.schmidtsciences.org/grantee/ziang-xiao/</t>
        </is>
      </c>
    </row>
    <row r="51">
      <c r="A51" t="inlineStr">
        <is>
          <t>v1.3 expansion source</t>
        </is>
      </c>
      <c r="B51" t="inlineStr">
        <is>
          <t>https://www.schmidtsciences.org/grantee/ziang-xiao/</t>
        </is>
      </c>
    </row>
    <row r="52">
      <c r="A52" t="inlineStr">
        <is>
          <t>v1.3 expansion source</t>
        </is>
      </c>
      <c r="B52" t="inlineStr">
        <is>
          <t>https://www.schmidtsciences.org/grantee/nicolas-flammarion/</t>
        </is>
      </c>
    </row>
    <row r="53">
      <c r="A53" t="inlineStr">
        <is>
          <t>v1.3 expansion source</t>
        </is>
      </c>
      <c r="B53" t="inlineStr">
        <is>
          <t>https://www.schmidtsciences.org/grantee/nicolas-flammarion/</t>
        </is>
      </c>
    </row>
    <row r="54">
      <c r="A54" t="inlineStr">
        <is>
          <t>v1.3 expansion source</t>
        </is>
      </c>
      <c r="B54" t="inlineStr">
        <is>
          <t>https://arxiv.org/abs/2503.00096</t>
        </is>
      </c>
    </row>
    <row r="55">
      <c r="A55" t="inlineStr">
        <is>
          <t>v1.3 expansion source</t>
        </is>
      </c>
      <c r="B55" t="inlineStr">
        <is>
          <t>https://arxiv.org/pdf/2503.00096</t>
        </is>
      </c>
    </row>
    <row r="56">
      <c r="A56" t="inlineStr">
        <is>
          <t>v1.3 expansion source</t>
        </is>
      </c>
      <c r="B56" t="inlineStr">
        <is>
          <t>https://www.biorxiv.org/content/10.64898/2026.05.08.723611v1</t>
        </is>
      </c>
    </row>
    <row r="57">
      <c r="A57" t="inlineStr">
        <is>
          <t>v1.3 expansion source</t>
        </is>
      </c>
      <c r="B57" t="inlineStr">
        <is>
          <t>https://www.biorxiv.org/content/10.64898/2026.05.08.723611v1.full</t>
        </is>
      </c>
    </row>
    <row r="58">
      <c r="A58" t="inlineStr">
        <is>
          <t>v1.3 expansion source</t>
        </is>
      </c>
      <c r="B58" t="inlineStr">
        <is>
          <t>https://arxiv.org/abs/2605.15766</t>
        </is>
      </c>
    </row>
    <row r="59">
      <c r="A59" t="inlineStr">
        <is>
          <t>v1.3 expansion source</t>
        </is>
      </c>
      <c r="B59" t="inlineStr">
        <is>
          <t>https://arxiv.org/pdf/2605.15766</t>
        </is>
      </c>
    </row>
    <row r="60">
      <c r="A60" t="inlineStr">
        <is>
          <t>v1.3 expansion source</t>
        </is>
      </c>
      <c r="B60" t="inlineStr">
        <is>
          <t>https://www.biorxiv.org/content/10.64898/2026.06.04.729919v1</t>
        </is>
      </c>
    </row>
    <row r="61">
      <c r="A61" t="inlineStr">
        <is>
          <t>v1.3 expansion source</t>
        </is>
      </c>
      <c r="B61" t="inlineStr">
        <is>
          <t>https://www.biorxiv.org/content/10.64898/2026.06.04.729919v1.full</t>
        </is>
      </c>
    </row>
    <row r="62">
      <c r="A62" t="inlineStr">
        <is>
          <t>v1.3 expansion source</t>
        </is>
      </c>
      <c r="B62" t="inlineStr">
        <is>
          <t>https://www.biorxiv.org/content/10.64898/2026.05.05.723092v1</t>
        </is>
      </c>
    </row>
    <row r="63">
      <c r="A63" t="inlineStr">
        <is>
          <t>v1.3 expansion source</t>
        </is>
      </c>
      <c r="B63" t="inlineStr">
        <is>
          <t>https://www.biorxiv.org/content/10.64898/2026.05.05.723092v1.full</t>
        </is>
      </c>
    </row>
    <row r="64">
      <c r="A64" t="inlineStr">
        <is>
          <t>v1.3 expansion source</t>
        </is>
      </c>
      <c r="B64" t="inlineStr">
        <is>
          <t>https://arxiv.org/abs/2508.13201</t>
        </is>
      </c>
    </row>
    <row r="65">
      <c r="A65" t="inlineStr">
        <is>
          <t>v1.3 expansion source</t>
        </is>
      </c>
      <c r="B65" t="inlineStr">
        <is>
          <t>https://arxiv.org/abs/2508.13201</t>
        </is>
      </c>
    </row>
    <row r="66">
      <c r="A66" t="inlineStr">
        <is>
          <t>v1.3 expansion source</t>
        </is>
      </c>
      <c r="B66" t="inlineStr">
        <is>
          <t>https://www.biorxiv.org/content/10.64898/2026.05.06.722404v1</t>
        </is>
      </c>
    </row>
    <row r="67">
      <c r="A67" t="inlineStr">
        <is>
          <t>v1.3 expansion source</t>
        </is>
      </c>
      <c r="B67" t="inlineStr">
        <is>
          <t>https://www.biorxiv.org/content/10.64898/2026.05.06.722404v1.full</t>
        </is>
      </c>
    </row>
    <row r="68">
      <c r="A68" t="inlineStr">
        <is>
          <t>v1.3 expansion source</t>
        </is>
      </c>
      <c r="B68" t="inlineStr">
        <is>
          <t>https://www.biorxiv.org/content/10.64898/2026.01.05.697809v1</t>
        </is>
      </c>
    </row>
    <row r="69">
      <c r="A69" t="inlineStr">
        <is>
          <t>v1.3 expansion source</t>
        </is>
      </c>
      <c r="B69" t="inlineStr">
        <is>
          <t>https://www.biorxiv.org/content/10.64898/2026.01.05.697809v1.full</t>
        </is>
      </c>
    </row>
    <row r="70">
      <c r="A70" t="inlineStr">
        <is>
          <t>v1.3 expansion source</t>
        </is>
      </c>
      <c r="B70" t="inlineStr">
        <is>
          <t>https://www.biorxiv.org/content/10.64898/2026.05.05.720956v1</t>
        </is>
      </c>
    </row>
    <row r="71">
      <c r="A71" t="inlineStr">
        <is>
          <t>v1.3 expansion source</t>
        </is>
      </c>
      <c r="B71" t="inlineStr">
        <is>
          <t>https://www.biorxiv.org/content/10.64898/2026.05.05.720956v1.full</t>
        </is>
      </c>
    </row>
    <row r="72">
      <c r="A72" t="inlineStr">
        <is>
          <t>v1.3 expansion source</t>
        </is>
      </c>
      <c r="B72" t="inlineStr">
        <is>
          <t>https://www.nature.com/articles/s41551-025-01463-z</t>
        </is>
      </c>
    </row>
    <row r="73">
      <c r="A73" t="inlineStr">
        <is>
          <t>v1.3 expansion source</t>
        </is>
      </c>
      <c r="B73" t="inlineStr">
        <is>
          <t>https://www.nature.com/articles/s41551-025-01463-z</t>
        </is>
      </c>
    </row>
    <row r="74">
      <c r="A74" t="inlineStr">
        <is>
          <t>v1.3 expansion source</t>
        </is>
      </c>
      <c r="B74" t="inlineStr">
        <is>
          <t>https://www.nature.com/articles/s41586-026-10644-y</t>
        </is>
      </c>
    </row>
    <row r="75">
      <c r="A75" t="inlineStr">
        <is>
          <t>v1.3 expansion source</t>
        </is>
      </c>
      <c r="B75" t="inlineStr">
        <is>
          <t>https://www.nature.com/articles/s41586-026-10644-y</t>
        </is>
      </c>
    </row>
    <row r="76">
      <c r="A76" t="inlineStr">
        <is>
          <t>v1.3 expansion source</t>
        </is>
      </c>
      <c r="B76" t="inlineStr">
        <is>
          <t>https://www.nature.com/articles/s41551-026-01634-6</t>
        </is>
      </c>
    </row>
    <row r="77">
      <c r="A77" t="inlineStr">
        <is>
          <t>v1.3 expansion source</t>
        </is>
      </c>
      <c r="B77" t="inlineStr">
        <is>
          <t>https://www.nature.com/articles/s41551-026-01634-6</t>
        </is>
      </c>
    </row>
    <row r="78">
      <c r="A78" t="inlineStr">
        <is>
          <t>v1.3 expansion source</t>
        </is>
      </c>
      <c r="B78" t="inlineStr">
        <is>
          <t>https://arxiv.org/abs/2503.00096</t>
        </is>
      </c>
    </row>
    <row r="79">
      <c r="A79" t="inlineStr">
        <is>
          <t>v1.3 expansion source</t>
        </is>
      </c>
      <c r="B79" t="inlineStr">
        <is>
          <t>https://arxiv.org/pdf/2503.00096</t>
        </is>
      </c>
    </row>
    <row r="80">
      <c r="A80" t="inlineStr">
        <is>
          <t>v1.3 expansion source</t>
        </is>
      </c>
      <c r="B80" t="inlineStr">
        <is>
          <t>https://www.biorxiv.org/content/10.64898/2026.05.08.723611v1</t>
        </is>
      </c>
    </row>
    <row r="81">
      <c r="A81" t="inlineStr">
        <is>
          <t>v1.3 expansion source</t>
        </is>
      </c>
      <c r="B81" t="inlineStr">
        <is>
          <t>https://www.biorxiv.org/content/10.64898/2026.05.08.723611v1.full</t>
        </is>
      </c>
    </row>
    <row r="82">
      <c r="A82" t="inlineStr">
        <is>
          <t>v1.3 expansion source</t>
        </is>
      </c>
      <c r="B82" t="inlineStr">
        <is>
          <t>https://arxiv.org/abs/2605.15766</t>
        </is>
      </c>
    </row>
    <row r="83">
      <c r="A83" t="inlineStr">
        <is>
          <t>v1.3 expansion source</t>
        </is>
      </c>
      <c r="B83" t="inlineStr">
        <is>
          <t>https://arxiv.org/pdf/2605.15766</t>
        </is>
      </c>
    </row>
    <row r="84">
      <c r="A84" t="inlineStr">
        <is>
          <t>v1.3 expansion source</t>
        </is>
      </c>
      <c r="B84" t="inlineStr">
        <is>
          <t>https://www.biorxiv.org/content/10.64898/2026.06.04.729919v1</t>
        </is>
      </c>
    </row>
    <row r="85">
      <c r="A85" t="inlineStr">
        <is>
          <t>v1.3 expansion source</t>
        </is>
      </c>
      <c r="B85" t="inlineStr">
        <is>
          <t>https://www.biorxiv.org/content/10.64898/2026.06.04.729919v1.full</t>
        </is>
      </c>
    </row>
    <row r="86">
      <c r="A86" t="inlineStr">
        <is>
          <t>v1.3 expansion source</t>
        </is>
      </c>
      <c r="B86" t="inlineStr">
        <is>
          <t>https://www.biorxiv.org/content/10.64898/2026.05.05.723092v1</t>
        </is>
      </c>
    </row>
    <row r="87">
      <c r="A87" t="inlineStr">
        <is>
          <t>v1.3 expansion source</t>
        </is>
      </c>
      <c r="B87" t="inlineStr">
        <is>
          <t>https://www.biorxiv.org/content/10.64898/2026.05.05.723092v1.full</t>
        </is>
      </c>
    </row>
    <row r="88">
      <c r="A88" t="inlineStr">
        <is>
          <t>v1.3 expansion source</t>
        </is>
      </c>
      <c r="B88" t="inlineStr">
        <is>
          <t>https://arxiv.org/abs/2508.13201</t>
        </is>
      </c>
    </row>
    <row r="89">
      <c r="A89" t="inlineStr">
        <is>
          <t>v1.3 expansion source</t>
        </is>
      </c>
      <c r="B89" t="inlineStr">
        <is>
          <t>https://arxiv.org/abs/2508.13201</t>
        </is>
      </c>
    </row>
    <row r="90">
      <c r="A90" t="inlineStr">
        <is>
          <t>v1.3 expansion source</t>
        </is>
      </c>
      <c r="B90" t="inlineStr">
        <is>
          <t>https://www.biorxiv.org/content/10.64898/2026.05.06.722404v1</t>
        </is>
      </c>
    </row>
    <row r="91">
      <c r="A91" t="inlineStr">
        <is>
          <t>v1.3 expansion source</t>
        </is>
      </c>
      <c r="B91" t="inlineStr">
        <is>
          <t>https://www.biorxiv.org/content/10.64898/2026.05.06.722404v1.full</t>
        </is>
      </c>
    </row>
    <row r="92">
      <c r="A92" t="inlineStr">
        <is>
          <t>v1.3 expansion source</t>
        </is>
      </c>
      <c r="B92" t="inlineStr">
        <is>
          <t>https://www.biorxiv.org/content/10.64898/2026.01.05.697809v1</t>
        </is>
      </c>
    </row>
    <row r="93">
      <c r="A93" t="inlineStr">
        <is>
          <t>v1.3 expansion source</t>
        </is>
      </c>
      <c r="B93" t="inlineStr">
        <is>
          <t>https://www.biorxiv.org/content/10.64898/2026.01.05.697809v1.full</t>
        </is>
      </c>
    </row>
    <row r="94">
      <c r="A94" t="inlineStr">
        <is>
          <t>v1.3 expansion source</t>
        </is>
      </c>
      <c r="B94" t="inlineStr">
        <is>
          <t>https://www.biorxiv.org/content/10.64898/2026.05.05.720956v1</t>
        </is>
      </c>
    </row>
    <row r="95">
      <c r="A95" t="inlineStr">
        <is>
          <t>v1.3 expansion source</t>
        </is>
      </c>
      <c r="B95" t="inlineStr">
        <is>
          <t>https://www.biorxiv.org/content/10.64898/2026.05.05.720956v1.full</t>
        </is>
      </c>
    </row>
    <row r="96">
      <c r="A96" t="inlineStr">
        <is>
          <t>v1.3 expansion source</t>
        </is>
      </c>
      <c r="B96" t="inlineStr">
        <is>
          <t>https://www.nature.com/articles/s41551-025-01463-z</t>
        </is>
      </c>
    </row>
    <row r="97">
      <c r="A97" t="inlineStr">
        <is>
          <t>v1.3 expansion source</t>
        </is>
      </c>
      <c r="B97" t="inlineStr">
        <is>
          <t>https://www.nature.com/articles/s41551-025-01463-z</t>
        </is>
      </c>
    </row>
    <row r="98">
      <c r="A98" t="inlineStr">
        <is>
          <t>v1.3 expansion source</t>
        </is>
      </c>
      <c r="B98" t="inlineStr">
        <is>
          <t>https://www.nature.com/articles/s41586-026-10644-y</t>
        </is>
      </c>
    </row>
    <row r="99">
      <c r="A99" t="inlineStr">
        <is>
          <t>v1.3 expansion source</t>
        </is>
      </c>
      <c r="B99" t="inlineStr">
        <is>
          <t>https://www.nature.com/articles/s41586-026-10644-y</t>
        </is>
      </c>
    </row>
    <row r="100">
      <c r="A100" t="inlineStr">
        <is>
          <t>v1.3 expansion source</t>
        </is>
      </c>
      <c r="B100" t="inlineStr">
        <is>
          <t>https://www.nature.com/articles/s41551-026-01634-6</t>
        </is>
      </c>
    </row>
    <row r="101">
      <c r="A101" t="inlineStr">
        <is>
          <t>v1.3 expansion source</t>
        </is>
      </c>
      <c r="B101" t="inlineStr">
        <is>
          <t>https://www.nature.com/articles/s41551-026-01634-6</t>
        </is>
      </c>
    </row>
    <row r="102">
      <c r="A102" t="inlineStr">
        <is>
          <t>Coefficient Giving / COS</t>
        </is>
      </c>
      <c r="B102" t="inlineStr">
        <is>
          <t>ReplicatorBench project</t>
        </is>
      </c>
      <c r="C102" t="inlineStr">
        <is>
          <t>https://www.cos.io/blog/benchmarking-llm-agents-on-scientific-tasks-introducing-replicatorbench</t>
        </is>
      </c>
      <c r="D102" t="inlineStr">
        <is>
          <t>project page</t>
        </is>
      </c>
      <c r="E102" t="inlineStr">
        <is>
          <t>Coefficient-funded real-study replication benchmark</t>
        </is>
      </c>
    </row>
    <row r="103">
      <c r="A103" t="inlineStr">
        <is>
          <t>Active Site</t>
        </is>
      </c>
      <c r="B103" t="inlineStr">
        <is>
          <t>Measuring Mid-2025 LLM-Assistance on Novice Performance in Biology</t>
        </is>
      </c>
      <c r="C103" t="inlineStr">
        <is>
          <t>https://arxiv.org/abs/2602.16703</t>
        </is>
      </c>
      <c r="D103" t="inlineStr">
        <is>
          <t>paper</t>
        </is>
      </c>
      <c r="E103" t="inlineStr">
        <is>
          <t>Physical wet-lab RCT, n=153</t>
        </is>
      </c>
    </row>
    <row r="104">
      <c r="A104" t="inlineStr">
        <is>
          <t>Scale AI / SecureBio</t>
        </is>
      </c>
      <c r="B104" t="inlineStr">
        <is>
          <t>LLM Novice Uplift on Dual-Use, In Silico Biology Tasks</t>
        </is>
      </c>
      <c r="C104" t="inlineStr">
        <is>
          <t>https://arxiv.org/abs/2602.23329</t>
        </is>
      </c>
      <c r="D104" t="inlineStr">
        <is>
          <t>paper</t>
        </is>
      </c>
      <c r="E104" t="inlineStr">
        <is>
          <t>Long-form human uplift, in silico</t>
        </is>
      </c>
    </row>
    <row r="105">
      <c r="A105" t="inlineStr">
        <is>
          <t>FutureHouse / Edison Scientific</t>
        </is>
      </c>
      <c r="B105" t="inlineStr">
        <is>
          <t>LABBench2</t>
        </is>
      </c>
      <c r="C105" t="inlineStr">
        <is>
          <t>https://arxiv.org/abs/2604.09554</t>
        </is>
      </c>
      <c r="D105" t="inlineStr">
        <is>
          <t>paper</t>
        </is>
      </c>
      <c r="E105" t="inlineStr">
        <is>
          <t>More realistic successor to LAB-Bench</t>
        </is>
      </c>
    </row>
    <row r="106">
      <c r="A106" t="inlineStr">
        <is>
          <t>LatchBio</t>
        </is>
      </c>
      <c r="B106" t="inlineStr">
        <is>
          <t>BioSecBench-Refusal</t>
        </is>
      </c>
      <c r="C106" t="inlineStr">
        <is>
          <t>https://arxiv.org/abs/2607.05462</t>
        </is>
      </c>
      <c r="D106" t="inlineStr">
        <is>
          <t>paper</t>
        </is>
      </c>
      <c r="E106" t="inlineStr">
        <is>
          <t>Paired routine/red-team refusal benchmark</t>
        </is>
      </c>
    </row>
    <row r="107">
      <c r="A107" t="inlineStr">
        <is>
          <t>UK AI Security Institute</t>
        </is>
      </c>
      <c r="B107" t="inlineStr">
        <is>
          <t>RepliBench</t>
        </is>
      </c>
      <c r="C107" t="inlineStr">
        <is>
          <t>https://arxiv.org/abs/2504.18565</t>
        </is>
      </c>
      <c r="D107" t="inlineStr">
        <is>
          <t>paper</t>
        </is>
      </c>
      <c r="E107" t="inlineStr">
        <is>
          <t>Autonomous replication capability benchmark</t>
        </is>
      </c>
    </row>
    <row r="108">
      <c r="A108" t="inlineStr">
        <is>
          <t>OpenAI</t>
        </is>
      </c>
      <c r="B108" t="inlineStr">
        <is>
          <t>PaperBench</t>
        </is>
      </c>
      <c r="C108" t="inlineStr">
        <is>
          <t>https://openai.com/index/paperbench/</t>
        </is>
      </c>
      <c r="D108" t="inlineStr">
        <is>
          <t>paper/project page</t>
        </is>
      </c>
      <c r="E108" t="inlineStr">
        <is>
          <t>Real research replication benchmark</t>
        </is>
      </c>
    </row>
    <row r="109">
      <c r="A109" t="inlineStr">
        <is>
          <t>FAR.AI</t>
        </is>
      </c>
      <c r="B109" t="inlineStr">
        <is>
          <t>AI Persuasion as a Threat to Human Control</t>
        </is>
      </c>
      <c r="C109" t="inlineStr">
        <is>
          <t>https://arxiv.org/abs/2609.14796</t>
        </is>
      </c>
      <c r="D109" t="inlineStr">
        <is>
          <t>paper</t>
        </is>
      </c>
      <c r="E109" t="inlineStr">
        <is>
          <t>Threat model + preliminary evaluation</t>
        </is>
      </c>
    </row>
    <row r="110">
      <c r="A110" t="inlineStr">
        <is>
          <t>Anthropic</t>
        </is>
      </c>
      <c r="B110" t="inlineStr">
        <is>
          <t>LLMs and biorisk</t>
        </is>
      </c>
      <c r="C110" t="inlineStr">
        <is>
          <t>https://www.anthropic.com/research/biorisk</t>
        </is>
      </c>
      <c r="D110" t="inlineStr">
        <is>
          <t>research page</t>
        </is>
      </c>
      <c r="E110" t="inlineStr">
        <is>
          <t>Wet-lab pilot + text uplift evidence and interpretation</t>
        </is>
      </c>
    </row>
    <row r="111">
      <c r="A111" t="inlineStr">
        <is>
          <t>Environmental health</t>
        </is>
      </c>
      <c r="B111" t="inlineStr">
        <is>
          <t>Agentic AI for Reproducible Human-in-the-Loop Environmental Health Research</t>
        </is>
      </c>
      <c r="C111" t="inlineStr">
        <is>
          <t>https://arxiv.org/abs/2608.06771</t>
        </is>
      </c>
      <c r="D111" t="inlineStr">
        <is>
          <t>paper</t>
        </is>
      </c>
      <c r="E111" t="inlineStr">
        <is>
          <t>HITL scientific analysis case study</t>
        </is>
      </c>
    </row>
    <row r="112">
      <c r="A112" t="inlineStr">
        <is>
          <t>Systems safety</t>
        </is>
      </c>
      <c r="B112" t="inlineStr">
        <is>
          <t>Human-in-the-loop LLMs for Functional Hazard Assessment</t>
        </is>
      </c>
      <c r="C112" t="inlineStr">
        <is>
          <t>https://doi.org/10.1016/j.rineng.2026.111313</t>
        </is>
      </c>
      <c r="D112" t="inlineStr">
        <is>
          <t>paper</t>
        </is>
      </c>
      <c r="E112" t="inlineStr">
        <is>
          <t>HITL safety analysis</t>
        </is>
      </c>
    </row>
    <row r="113">
      <c r="A113" t="inlineStr">
        <is>
          <t>Nature Machine Intelligence</t>
        </is>
      </c>
      <c r="B113" t="inlineStr">
        <is>
          <t>An agentic artificially intelligent X-ray scientist</t>
        </is>
      </c>
      <c r="C113" t="inlineStr">
        <is>
          <t>https://www.nature.com/articles/s42256-026-01261-5</t>
        </is>
      </c>
      <c r="D113" t="inlineStr">
        <is>
          <t>paper</t>
        </is>
      </c>
      <c r="E113" t="inlineStr">
        <is>
          <t>Physical closed-loop agent demonstration</t>
        </is>
      </c>
    </row>
    <row r="114">
      <c r="A114" t="inlineStr">
        <is>
          <t>SecureBio</t>
        </is>
      </c>
      <c r="B114" t="inlineStr">
        <is>
          <t>Uplift Studies evidence synthesis</t>
        </is>
      </c>
      <c r="C114" t="inlineStr">
        <is>
          <t>https://securebio.org/benchmarks/uplift/</t>
        </is>
      </c>
      <c r="D114" t="inlineStr">
        <is>
          <t>evidence synthesis</t>
        </is>
      </c>
      <c r="E114" t="inlineStr">
        <is>
          <t>Cross-study wet-lab vs in-silico evidence</t>
        </is>
      </c>
    </row>
    <row r="115">
      <c r="A115" t="inlineStr">
        <is>
          <t>Coefficient Giving</t>
        </is>
      </c>
      <c r="B115" t="inlineStr">
        <is>
          <t>2026 Biosecurity RFP</t>
        </is>
      </c>
      <c r="C115" t="inlineStr">
        <is>
          <t>https://coefficientgiving.org/funds/biosecurity-pandemic-preparedness/request-for-proposals-biosecurity/</t>
        </is>
      </c>
      <c r="D115" t="inlineStr">
        <is>
          <t>RFP</t>
        </is>
      </c>
      <c r="E115" t="inlineStr">
        <is>
          <t>Problem framing / grant selection priorities</t>
        </is>
      </c>
    </row>
    <row r="116">
      <c r="A116" t="inlineStr">
        <is>
          <t>Schmidt Sciences et al.</t>
        </is>
      </c>
      <c r="B116" t="inlineStr">
        <is>
          <t>Scaling AI Safety for a Multi-Agent World</t>
        </is>
      </c>
      <c r="C116" t="inlineStr">
        <is>
          <t>https://www.schmidtsciences.org/multi-agent-ai/</t>
        </is>
      </c>
      <c r="D116" t="inlineStr">
        <is>
          <t>RFP</t>
        </is>
      </c>
      <c r="E116" t="inlineStr">
        <is>
          <t>System-level multi-agent safety funding agenda</t>
        </is>
      </c>
    </row>
    <row r="117">
      <c r="A117" t="inlineStr">
        <is>
          <t>CISA</t>
        </is>
      </c>
      <c r="B117" t="inlineStr">
        <is>
          <t>XZ Utils supply-chain compromise</t>
        </is>
      </c>
      <c r="C117" t="inlineStr">
        <is>
          <t>https://www.cisa.gov/news-events/alerts/2024/03/29/reported-supply-chain-compromise-affecting-xz-utils-data-compression-library-cve-2024-3094</t>
        </is>
      </c>
      <c r="D117" t="inlineStr">
        <is>
          <t>incident/advisory</t>
        </is>
      </c>
      <c r="E117" t="inlineStr">
        <is>
          <t>Comparator field incident</t>
        </is>
      </c>
    </row>
    <row r="118">
      <c r="A118" t="inlineStr">
        <is>
          <t>U.S. Senate</t>
        </is>
      </c>
      <c r="B118" t="inlineStr">
        <is>
          <t>Target breach kill-chain analysis</t>
        </is>
      </c>
      <c r="C118" t="inlineStr">
        <is>
          <t>https://www.commerce.senate.gov/services/files/24d3c229-4f2f-405d-b8db-a3a67f183883</t>
        </is>
      </c>
      <c r="D118" t="inlineStr">
        <is>
          <t>incident report</t>
        </is>
      </c>
      <c r="E118" t="inlineStr">
        <is>
          <t>Comparator field incident on alert-to-response failure</t>
        </is>
      </c>
    </row>
    <row r="119">
      <c r="A119" t="inlineStr">
        <is>
          <t>B01</t>
        </is>
      </c>
      <c r="B119" t="inlineStr">
        <is>
          <t>WHO Laboratory Biosafety Manual, 4th ed.</t>
        </is>
      </c>
      <c r="C119" t="inlineStr">
        <is>
          <t>https://www.who.int/publications-detail-redirect/9789240011311</t>
        </is>
      </c>
      <c r="D119" t="inlineStr">
        <is>
          <t>https://iris.who.int/bitstream/handle/10665/337956/9789240011311-eng.pdf?sequence=1</t>
        </is>
      </c>
      <c r="E119" t="inlineStr">
        <is>
          <t>Comparator v1.6; full text public</t>
        </is>
      </c>
    </row>
    <row r="120">
      <c r="A120" t="inlineStr">
        <is>
          <t>B02</t>
        </is>
      </c>
      <c r="B120" t="inlineStr">
        <is>
          <t>WHO Laboratory Biosafety Manual: Biosafety Programme Management</t>
        </is>
      </c>
      <c r="C120" t="inlineStr">
        <is>
          <t>https://www.who.int/publications-detail-redirect/9789240011434</t>
        </is>
      </c>
      <c r="D120" t="inlineStr">
        <is>
          <t>https://iris.who.int/bitstream/handle/10665/337963/9789240011434-eng.pdf</t>
        </is>
      </c>
      <c r="E120" t="inlineStr">
        <is>
          <t>Comparator v1.6; full text public</t>
        </is>
      </c>
    </row>
    <row r="121">
      <c r="A121" t="inlineStr">
        <is>
          <t>B03</t>
        </is>
      </c>
      <c r="B121" t="inlineStr">
        <is>
          <t>CDC Reporting Incidents and Near Misses</t>
        </is>
      </c>
      <c r="C121" t="inlineStr">
        <is>
          <t>https://reach.cdc.gov/jobaid/reporting-incidents-and-near-misses</t>
        </is>
      </c>
      <c r="D121" t="inlineStr">
        <is>
          <t>https://reach.cdc.gov/jobaid/reporting-incidents-and-near-misses</t>
        </is>
      </c>
      <c r="E121" t="inlineStr">
        <is>
          <t>Comparator v1.6; web full text</t>
        </is>
      </c>
    </row>
    <row r="122">
      <c r="A122" t="inlineStr">
        <is>
          <t>B04</t>
        </is>
      </c>
      <c r="B122" t="inlineStr">
        <is>
          <t>WHO Laboratory Biosecurity Guidance</t>
        </is>
      </c>
      <c r="C122" t="inlineStr">
        <is>
          <t>https://www.who.int/publications/i/item/9789240095113</t>
        </is>
      </c>
      <c r="D122" t="inlineStr">
        <is>
          <t>https://www.who.int/publications/i/item/9789240095113</t>
        </is>
      </c>
      <c r="E122" t="inlineStr">
        <is>
          <t>Comparator v1.6; public guidance</t>
        </is>
      </c>
    </row>
    <row r="123">
      <c r="A123" t="inlineStr">
        <is>
          <t>B05</t>
        </is>
      </c>
      <c r="B123" t="inlineStr">
        <is>
          <t>CDC Guidelines for Biosafety Laboratory Competency</t>
        </is>
      </c>
      <c r="C123" t="inlineStr">
        <is>
          <t>https://www.cdc.gov/mmwr/preview/mmwrhtml/su6002a1.htm</t>
        </is>
      </c>
      <c r="D123" t="inlineStr">
        <is>
          <t>https://www.cdc.gov/mmwr/preview/mmwrhtml/su6002a1.htm</t>
        </is>
      </c>
      <c r="E123" t="inlineStr">
        <is>
          <t>Comparator v1.6; web full text</t>
        </is>
      </c>
    </row>
    <row r="124">
      <c r="A124" t="inlineStr">
        <is>
          <t>S01</t>
        </is>
      </c>
      <c r="B124" t="inlineStr">
        <is>
          <t>Leveson, A New Accident Model for Engineering Safer Systems</t>
        </is>
      </c>
      <c r="C124" t="inlineStr">
        <is>
          <t>https://dspace.mit.edu/entities/publication/03206756-4eb7-4d4b-8c44-01e8082caa2b</t>
        </is>
      </c>
      <c r="D124" t="inlineStr">
        <is>
          <t>https://dspace.mit.edu/entities/publication/03206756-4eb7-4d4b-8c44-01e8082caa2b</t>
        </is>
      </c>
      <c r="E124" t="inlineStr">
        <is>
          <t>Comparator v1.6; PDF available</t>
        </is>
      </c>
    </row>
    <row r="125">
      <c r="A125" t="inlineStr">
        <is>
          <t>S02</t>
        </is>
      </c>
      <c r="B125" t="inlineStr">
        <is>
          <t>Abdulkhaleq, Wagner &amp; Leveson, STPA for software-intensive systems</t>
        </is>
      </c>
      <c r="C125" t="inlineStr">
        <is>
          <t>https://dspace.mit.edu/entities/publication/43aafa21-0671-4f1c-ae12-a0b0d8c97ac6</t>
        </is>
      </c>
      <c r="D125" t="inlineStr">
        <is>
          <t>https://dspace.mit.edu/entities/publication/43aafa21-0671-4f1c-ae12-a0b0d8c97ac6</t>
        </is>
      </c>
      <c r="E125" t="inlineStr">
        <is>
          <t>Comparator v1.6; PDF available</t>
        </is>
      </c>
    </row>
    <row r="126">
      <c r="A126" t="inlineStr">
        <is>
          <t>S03</t>
        </is>
      </c>
      <c r="B126" t="inlineStr">
        <is>
          <t>Reason, Human error: models and management</t>
        </is>
      </c>
      <c r="C126" t="inlineStr">
        <is>
          <t>https://www.bmj.com/content/320/7237/768</t>
        </is>
      </c>
      <c r="D126" t="inlineStr">
        <is>
          <t>https://www.bmj.com/content/bmj/320/7237/768.full.pdf</t>
        </is>
      </c>
      <c r="E126" t="inlineStr">
        <is>
          <t>Comparator v1.6; full PDF public</t>
        </is>
      </c>
    </row>
    <row r="127">
      <c r="A127" t="inlineStr">
        <is>
          <t>S04</t>
        </is>
      </c>
      <c r="B127" t="inlineStr">
        <is>
          <t>Van Spall et al., Near-misses are an opportunity to improve patient safety</t>
        </is>
      </c>
      <c r="C127" t="inlineStr">
        <is>
          <t>https://pubmed.ncbi.nlm.nih.gov/26126125/</t>
        </is>
      </c>
      <c r="D127" t="inlineStr">
        <is>
          <t>https://pubmed.ncbi.nlm.nih.gov/26126125/</t>
        </is>
      </c>
      <c r="E127" t="inlineStr">
        <is>
          <t>Comparator v1.6; free article</t>
        </is>
      </c>
    </row>
    <row r="128">
      <c r="A128" t="inlineStr">
        <is>
          <t>S05</t>
        </is>
      </c>
      <c r="B128" t="inlineStr">
        <is>
          <t>Provan et al., Safety II professionals</t>
        </is>
      </c>
      <c r="C128" t="inlineStr">
        <is>
          <t>https://doi.org/10.1016/j.ress.2019.106740</t>
        </is>
      </c>
      <c r="D128" t="inlineStr">
        <is>
          <t>https://doi.org/10.1016/j.ress.2019.106740</t>
        </is>
      </c>
      <c r="E128" t="inlineStr">
        <is>
          <t>Comparator v1.6; publisher full text may vary</t>
        </is>
      </c>
    </row>
    <row r="129">
      <c r="A129" t="inlineStr">
        <is>
          <t>C01</t>
        </is>
      </c>
      <c r="B129" t="inlineStr">
        <is>
          <t>Dumitras &amp; Shou, WINE</t>
        </is>
      </c>
      <c r="C129" t="inlineStr">
        <is>
          <t>https://users.umiacs.umd.edu/~tudor/research-wine.html</t>
        </is>
      </c>
      <c r="D129" t="inlineStr">
        <is>
          <t>https://www.researchgate.net/publication/234817875_Toward_a_standard_benchmark_for_computer_security_research_the_worldwide_intelligence_network_environment_WINE</t>
        </is>
      </c>
      <c r="E129" t="inlineStr">
        <is>
          <t>Comparator v1.6; author page + paper</t>
        </is>
      </c>
    </row>
    <row r="130">
      <c r="A130" t="inlineStr">
        <is>
          <t>C02</t>
        </is>
      </c>
      <c r="B130" t="inlineStr">
        <is>
          <t>Verizon Data Breach Investigations Report 2025</t>
        </is>
      </c>
      <c r="C130" t="inlineStr">
        <is>
          <t>https://www.verizon.com/business/resources/reports/dbir/</t>
        </is>
      </c>
      <c r="D130" t="inlineStr">
        <is>
          <t>https://www.verizon.com/business/resources/reports/dbir/</t>
        </is>
      </c>
      <c r="E130" t="inlineStr">
        <is>
          <t>Comparator v1.6; public report</t>
        </is>
      </c>
    </row>
    <row r="131">
      <c r="A131" t="inlineStr">
        <is>
          <t>C03</t>
        </is>
      </c>
      <c r="B131" t="inlineStr">
        <is>
          <t>A Comparison of Systemic and Systematic Risks of Malware Encounters</t>
        </is>
      </c>
      <c r="C131" t="inlineStr">
        <is>
          <t>https://doi.org/10.1145/3565362</t>
        </is>
      </c>
      <c r="D131" t="inlineStr">
        <is>
          <t>https://doi.org/10.1145/3565362</t>
        </is>
      </c>
      <c r="E131" t="inlineStr">
        <is>
          <t>Comparator v1.6; publisher</t>
        </is>
      </c>
    </row>
    <row r="132">
      <c r="A132" t="inlineStr">
        <is>
          <t>C04</t>
        </is>
      </c>
      <c r="B132" t="inlineStr">
        <is>
          <t>GAMBiT human-subject red-team cyber range datasets</t>
        </is>
      </c>
      <c r="C132" t="inlineStr">
        <is>
          <t>https://pmc.ncbi.nlm.nih.gov/articles/PMC12865583/</t>
        </is>
      </c>
      <c r="D132" t="inlineStr">
        <is>
          <t>https://pmc.ncbi.nlm.nih.gov/articles/PMC12865583/</t>
        </is>
      </c>
      <c r="E132" t="inlineStr">
        <is>
          <t>Comparator v1.6; full text public</t>
        </is>
      </c>
    </row>
    <row r="133">
      <c r="A133" t="inlineStr">
        <is>
          <t>C05</t>
        </is>
      </c>
      <c r="B133" t="inlineStr">
        <is>
          <t>Forensic visibility gaps in fileless malware incidents</t>
        </is>
      </c>
      <c r="C133" t="inlineStr">
        <is>
          <t>https://www.sciencedirect.com/science/article/pii/S2666281726000697</t>
        </is>
      </c>
      <c r="D133" t="inlineStr">
        <is>
          <t>https://www.sciencedirect.com/science/article/pii/S2666281726000697</t>
        </is>
      </c>
      <c r="E133" t="inlineStr">
        <is>
          <t>Comparator v1.6; open/publisher</t>
        </is>
      </c>
    </row>
    <row r="134">
      <c r="A134" t="inlineStr">
        <is>
          <t>D01</t>
        </is>
      </c>
      <c r="B134" t="inlineStr">
        <is>
          <t>Ouzounis, Modeling percolation of annotation errors</t>
        </is>
      </c>
      <c r="C134" t="inlineStr">
        <is>
          <t>https://academic.oup.com/bioinformatics/article/18/12/1641/239411</t>
        </is>
      </c>
      <c r="D134" t="inlineStr">
        <is>
          <t>https://academic.oup.com/bioinformatics/article/18/12/1641/239411</t>
        </is>
      </c>
      <c r="E134" t="inlineStr">
        <is>
          <t>Comparator v1.6; PDF available</t>
        </is>
      </c>
    </row>
    <row r="135">
      <c r="A135" t="inlineStr">
        <is>
          <t>D02</t>
        </is>
      </c>
      <c r="B135" t="inlineStr">
        <is>
          <t>Detecting and correcting misclassified sequences in public databases</t>
        </is>
      </c>
      <c r="C135" t="inlineStr">
        <is>
          <t>https://academic.oup.com/bioinformatics/article/36/18/4699/5862012</t>
        </is>
      </c>
      <c r="D135" t="inlineStr">
        <is>
          <t>https://academic.oup.com/bioinformatics/article/36/18/4699/5862012</t>
        </is>
      </c>
      <c r="E135" t="inlineStr">
        <is>
          <t>Comparator v1.6; publisher</t>
        </is>
      </c>
    </row>
    <row r="136">
      <c r="A136" t="inlineStr">
        <is>
          <t>D03</t>
        </is>
      </c>
      <c r="B136" t="inlineStr">
        <is>
          <t>Contaminant DNA in bacterial sequencing experiments</t>
        </is>
      </c>
      <c r="C136" t="inlineStr">
        <is>
          <t>https://pmc.ncbi.nlm.nih.gov/articles/PMC7053099/</t>
        </is>
      </c>
      <c r="D136" t="inlineStr">
        <is>
          <t>https://pmc.ncbi.nlm.nih.gov/articles/PMC7053099/</t>
        </is>
      </c>
      <c r="E136" t="inlineStr">
        <is>
          <t>Comparator v1.6; full text public</t>
        </is>
      </c>
    </row>
    <row r="137">
      <c r="A137" t="inlineStr">
        <is>
          <t>D04</t>
        </is>
      </c>
      <c r="B137" t="inlineStr">
        <is>
          <t>Investigating reproducibility and tracking provenance — genomic workflow case study</t>
        </is>
      </c>
      <c r="C137" t="inlineStr">
        <is>
          <t>https://pmc.ncbi.nlm.nih.gov/articles/PMC5508699/</t>
        </is>
      </c>
      <c r="D137" t="inlineStr">
        <is>
          <t>https://pmc.ncbi.nlm.nih.gov/articles/PMC5508699/</t>
        </is>
      </c>
      <c r="E137" t="inlineStr">
        <is>
          <t>Comparator v1.6; full text public</t>
        </is>
      </c>
    </row>
    <row r="138">
      <c r="A138" t="inlineStr">
        <is>
          <t>D05</t>
        </is>
      </c>
      <c r="B138" t="inlineStr">
        <is>
          <t>Ten common issues with reference sequence databases and how to mitigate them</t>
        </is>
      </c>
      <c r="C138" t="inlineStr">
        <is>
          <t>https://www.frontiersin.org/journals/bioinformatics/articles/10.3389/fbinf.2024.1278228/full</t>
        </is>
      </c>
      <c r="D138" t="inlineStr">
        <is>
          <t>https://www.frontiersin.org/journals/bioinformatics/articles/10.3389/fbinf.2024.1278228/full</t>
        </is>
      </c>
      <c r="E138" t="inlineStr">
        <is>
          <t>Comparator v1.6; full text public</t>
        </is>
      </c>
    </row>
    <row r="139">
      <c r="A139" t="inlineStr">
        <is>
          <t>M01</t>
        </is>
      </c>
      <c r="B139" t="inlineStr">
        <is>
          <t>The Benchmarking Epistemology: Construct Validity for Evaluating ML Models</t>
        </is>
      </c>
      <c r="C139" t="inlineStr">
        <is>
          <t>https://arxiv.org/abs/2510.23191</t>
        </is>
      </c>
      <c r="D139" t="inlineStr">
        <is>
          <t>https://arxiv.org/pdf/2510.23191</t>
        </is>
      </c>
      <c r="E139" t="inlineStr">
        <is>
          <t>Comparator v1.6; full text public</t>
        </is>
      </c>
    </row>
    <row r="140">
      <c r="A140" t="inlineStr">
        <is>
          <t>M02</t>
        </is>
      </c>
      <c r="B140" t="inlineStr">
        <is>
          <t>Measuring what Matters: Construct Validity in LLM Benchmarks</t>
        </is>
      </c>
      <c r="C140" t="inlineStr">
        <is>
          <t>https://arxiv.org/abs/2511.04703</t>
        </is>
      </c>
      <c r="D140" t="inlineStr">
        <is>
          <t>https://arxiv.org/pdf/2511.04703</t>
        </is>
      </c>
      <c r="E140" t="inlineStr">
        <is>
          <t>Comparator v1.6; full text public</t>
        </is>
      </c>
    </row>
    <row r="141">
      <c r="A141" t="inlineStr">
        <is>
          <t>M03</t>
        </is>
      </c>
      <c r="B141" t="inlineStr">
        <is>
          <t>The Benchmark Lottery</t>
        </is>
      </c>
      <c r="C141" t="inlineStr">
        <is>
          <t>https://arxiv.org/abs/2107.07002</t>
        </is>
      </c>
      <c r="D141" t="inlineStr">
        <is>
          <t>https://arxiv.org/pdf/2107.07002</t>
        </is>
      </c>
      <c r="E141" t="inlineStr">
        <is>
          <t>Comparator v1.6; full text public</t>
        </is>
      </c>
    </row>
    <row r="142">
      <c r="A142" t="inlineStr">
        <is>
          <t>M04</t>
        </is>
      </c>
      <c r="B142" t="inlineStr">
        <is>
          <t>Goodhart's Law Applies to NLP Explanation Benchmarks</t>
        </is>
      </c>
      <c r="C142" t="inlineStr">
        <is>
          <t>https://arxiv.org/abs/2308.14272</t>
        </is>
      </c>
      <c r="D142" t="inlineStr">
        <is>
          <t>https://arxiv.org/pdf/2308.14272</t>
        </is>
      </c>
      <c r="E142" t="inlineStr">
        <is>
          <t>Comparator v1.6; full text public</t>
        </is>
      </c>
    </row>
    <row r="143">
      <c r="A143" t="inlineStr">
        <is>
          <t>M05</t>
        </is>
      </c>
      <c r="B143" t="inlineStr">
        <is>
          <t>General scales unlock AI evaluation with explanatory and predictive power</t>
        </is>
      </c>
      <c r="C143" t="inlineStr">
        <is>
          <t>https://doi.org/10.1038/s41586-026-10303-2</t>
        </is>
      </c>
      <c r="D143" t="inlineStr">
        <is>
          <t>https://doi.org/10.1038/s41586-026-10303-2</t>
        </is>
      </c>
      <c r="E143" t="inlineStr">
        <is>
          <t>Comparator v1.6; publisher</t>
        </is>
      </c>
    </row>
    <row r="144">
      <c r="A144" t="inlineStr">
        <is>
          <t>O01</t>
        </is>
      </c>
      <c r="B144" t="inlineStr">
        <is>
          <t>Automated DBTL pipeline for microbial fine chemicals</t>
        </is>
      </c>
      <c r="C144" t="inlineStr">
        <is>
          <t>https://www.nature.com/articles/s42003-018-0076-9</t>
        </is>
      </c>
      <c r="D144" t="inlineStr">
        <is>
          <t>https://www.nature.com/articles/s42003-018-0076-9.pdf</t>
        </is>
      </c>
      <c r="E144" t="inlineStr">
        <is>
          <t>Comparator v1.6; open access</t>
        </is>
      </c>
    </row>
    <row r="145">
      <c r="A145" t="inlineStr">
        <is>
          <t>O02</t>
        </is>
      </c>
      <c r="B145" t="inlineStr">
        <is>
          <t>Closing the loop: autonomous test-learn cycle on robotic platform</t>
        </is>
      </c>
      <c r="C145" t="inlineStr">
        <is>
          <t>https://www.frontiersin.org/journals/bioengineering-and-biotechnology/articles/10.3389/fbioe.2024.1528224/full</t>
        </is>
      </c>
      <c r="D145" t="inlineStr">
        <is>
          <t>https://www.frontiersin.org/journals/bioengineering-and-biotechnology/articles/10.3389/fbioe.2024.1528224/pdf</t>
        </is>
      </c>
      <c r="E145" t="inlineStr">
        <is>
          <t>Comparator v1.6; full text public</t>
        </is>
      </c>
    </row>
    <row r="146">
      <c r="A146" t="inlineStr">
        <is>
          <t>O03</t>
        </is>
      </c>
      <c r="B146" t="inlineStr">
        <is>
          <t>An engineering biology approach to automated workflow and biodesign</t>
        </is>
      </c>
      <c r="C146" t="inlineStr">
        <is>
          <t>https://pmc.ncbi.nlm.nih.gov/articles/PMC11210394/</t>
        </is>
      </c>
      <c r="D146" t="inlineStr">
        <is>
          <t>https://pmc.ncbi.nlm.nih.gov/articles/PMC11210394/</t>
        </is>
      </c>
      <c r="E146" t="inlineStr">
        <is>
          <t>Comparator v1.6; full text public</t>
        </is>
      </c>
    </row>
    <row r="147">
      <c r="A147" t="inlineStr">
        <is>
          <t>O04</t>
        </is>
      </c>
      <c r="B147" t="inlineStr">
        <is>
          <t>Integrated genomic surveillance in local public health authorities</t>
        </is>
      </c>
      <c r="C147" t="inlineStr">
        <is>
          <t>https://pmc.ncbi.nlm.nih.gov/articles/PMC11969963/</t>
        </is>
      </c>
      <c r="D147" t="inlineStr">
        <is>
          <t>https://pmc.ncbi.nlm.nih.gov/articles/PMC11969963/</t>
        </is>
      </c>
      <c r="E147" t="inlineStr">
        <is>
          <t>Comparator v1.6; full text public</t>
        </is>
      </c>
    </row>
    <row r="148">
      <c r="A148" t="inlineStr">
        <is>
          <t>O05</t>
        </is>
      </c>
      <c r="B148" t="inlineStr">
        <is>
          <t>WHO Global Genomic Surveillance Strategy</t>
        </is>
      </c>
      <c r="C148" t="inlineStr">
        <is>
          <t>https://www.who.int/initiatives/genomic-surveillance-strategy</t>
        </is>
      </c>
      <c r="D148" t="inlineStr">
        <is>
          <t>https://www.who.int/initiatives/genomic-surveillance-strategy</t>
        </is>
      </c>
      <c r="E148" t="inlineStr">
        <is>
          <t>Comparator v1.6; public strategy</t>
        </is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 ht="36" customHeight="1">
      <c r="A2" s="2" t="inlineStr">
        <is>
          <t>Funding</t>
        </is>
      </c>
      <c r="B2" s="2" t="inlineStr">
        <is>
          <t>Funder(s), program/RFP, year, amount if known, recipient</t>
        </is>
      </c>
    </row>
    <row r="3" ht="36" customHeight="1">
      <c r="A3" s="2" t="inlineStr">
        <is>
          <t>Output</t>
        </is>
      </c>
      <c r="B3" s="2" t="inlineStr">
        <is>
          <t>Project, paper, benchmark, dataset, infrastructure, evaluation</t>
        </is>
      </c>
    </row>
    <row r="4" ht="36" customHeight="1">
      <c r="A4" s="2" t="inlineStr">
        <is>
          <t>Problem</t>
        </is>
      </c>
      <c r="B4" s="2" t="inlineStr">
        <is>
          <t>Research question; stated threat/harm</t>
        </is>
      </c>
    </row>
    <row r="5" ht="36" customHeight="1">
      <c r="A5" s="2" t="inlineStr">
        <is>
          <t>System</t>
        </is>
      </c>
      <c r="B5" s="2" t="inlineStr">
        <is>
          <t>System boundary; actors/components; deployment context</t>
        </is>
      </c>
    </row>
    <row r="6" ht="36" customHeight="1">
      <c r="A6" s="2" t="inlineStr">
        <is>
          <t>Construct</t>
        </is>
      </c>
      <c r="B6" s="2" t="inlineStr">
        <is>
          <t>Security/safety property researchers aim to understand</t>
        </is>
      </c>
    </row>
    <row r="7" ht="36" customHeight="1">
      <c r="A7" s="2" t="inlineStr">
        <is>
          <t>Measurement</t>
        </is>
      </c>
      <c r="B7" s="2" t="inlineStr">
        <is>
          <t>What is actually measured; endpoint; proxy</t>
        </is>
      </c>
    </row>
    <row r="8" ht="36" customHeight="1">
      <c r="A8" s="2" t="inlineStr">
        <is>
          <t>Evidence</t>
        </is>
      </c>
      <c r="B8" s="2" t="inlineStr">
        <is>
          <t>Simulation, benchmark, expert elicitation, human experiment, field data, wet lab, deployment, etc.</t>
        </is>
      </c>
    </row>
    <row r="9" ht="36" customHeight="1">
      <c r="A9" s="2" t="inlineStr">
        <is>
          <t>Claim</t>
        </is>
      </c>
      <c r="B9" s="2" t="inlineStr">
        <is>
          <t>What authors/funder say the result implies</t>
        </is>
      </c>
    </row>
    <row r="10" ht="36" customHeight="1">
      <c r="A10" s="2" t="inlineStr">
        <is>
          <t>Demonstration</t>
        </is>
      </c>
      <c r="B10" s="2" t="inlineStr">
        <is>
          <t>What the experiment directly establishes</t>
        </is>
      </c>
    </row>
    <row r="11" ht="36" customHeight="1">
      <c r="A11" s="2" t="inlineStr">
        <is>
          <t>Validation</t>
        </is>
      </c>
      <c r="B11" s="2" t="inlineStr">
        <is>
          <t>Construct, ecological, predictive, external validation</t>
        </is>
      </c>
    </row>
    <row r="12" ht="36" customHeight="1">
      <c r="A12" s="2" t="inlineStr">
        <is>
          <t>Security linkage</t>
        </is>
      </c>
      <c r="B12" s="2" t="inlineStr">
        <is>
          <t>Evidence connecting measurement to consequential security outcome</t>
        </is>
      </c>
    </row>
    <row r="13" ht="36" customHeight="1">
      <c r="A13" s="2" t="inlineStr">
        <is>
          <t>Configuration</t>
        </is>
      </c>
      <c r="B13" s="2" t="inlineStr">
        <is>
          <t>Model-only, model+tools, human+AI, agentic, physical execution, deployed system</t>
        </is>
      </c>
    </row>
    <row r="14" ht="36" customHeight="1">
      <c r="A14" s="2" t="inlineStr">
        <is>
          <t>Relationships</t>
        </is>
      </c>
      <c r="B14" s="2" t="inlineStr">
        <is>
          <t>Information/context/authority/action crossing interfaces</t>
        </is>
      </c>
    </row>
    <row r="15" ht="36" customHeight="1">
      <c r="A15" s="2" t="inlineStr">
        <is>
          <t>Boundary sensitivity</t>
        </is>
      </c>
      <c r="B15" s="2" t="inlineStr">
        <is>
          <t>Could expanding system boundary alter conclusion?</t>
        </is>
      </c>
    </row>
    <row r="16" ht="36" customHeight="1">
      <c r="A16" s="2" t="inlineStr">
        <is>
          <t>Use</t>
        </is>
      </c>
      <c r="B16" s="2" t="inlineStr">
        <is>
          <t>Later evaluation, deployment, safeguard, system-card, or policy use</t>
        </is>
      </c>
    </row>
    <row r="17" ht="36" customHeight="1">
      <c r="A17" s="2" t="inlineStr">
        <is>
          <t>Provenance</t>
        </is>
      </c>
      <c r="B17" s="2" t="inlineStr">
        <is>
          <t>Direct source / author claim / our inference / unknown</t>
        </is>
      </c>
    </row>
    <row r="18" ht="36" customHeight="1">
      <c r="A18" s="2" t="inlineStr">
        <is>
          <t>Emergent</t>
        </is>
      </c>
      <c r="B18" s="2" t="inlineStr">
        <is>
          <t>What important feature does not fit current schema?</t>
        </is>
      </c>
    </row>
    <row r="19" ht="36" customHeight="1">
      <c r="A19" s="2" t="inlineStr">
        <is>
          <t>Theory-of-change chain</t>
        </is>
      </c>
      <c r="B19" s="2" t="inlineStr">
        <is>
          <t>Threat -&gt; construct -&gt; proxy/measurement -&gt; result -&gt; inferred risk -&gt; intervention -&gt; expected security effect</t>
        </is>
      </c>
    </row>
    <row r="20" ht="36" customHeight="1">
      <c r="A20" s="2" t="inlineStr">
        <is>
          <t>Arrow evidence</t>
        </is>
      </c>
      <c r="B20" s="2" t="inlineStr">
        <is>
          <t>For each theory-of-change arrow: demonstrated / externally supported / author-inferred / assumed / unknown</t>
        </is>
      </c>
    </row>
    <row r="21" ht="36" customHeight="1">
      <c r="A21" s="2" t="inlineStr">
        <is>
          <t>Funding attribution strength</t>
        </is>
      </c>
      <c r="B21" s="2" t="inlineStr">
        <is>
          <t>Project-specific / co-funded / general support / infrastructure / unclear</t>
        </is>
      </c>
    </row>
    <row r="22" ht="36" customHeight="1">
      <c r="A22" s="2" t="inlineStr">
        <is>
          <t>Downstream lineage</t>
        </is>
      </c>
      <c r="B22" s="2" t="inlineStr">
        <is>
          <t>Later papers, revisions, system-card use, policy citation, deployment decision, follow-on grants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4" customHeight="1">
      <c r="A1" s="4" t="inlineStr">
        <is>
          <t>Code</t>
        </is>
      </c>
      <c r="B1" s="4" t="inlineStr">
        <is>
          <t>Meaning</t>
        </is>
      </c>
    </row>
    <row r="2" ht="36" customHeight="1">
      <c r="A2" s="2" t="inlineStr">
        <is>
          <t>Demonstrated</t>
        </is>
      </c>
      <c r="B2" s="2" t="inlineStr">
        <is>
          <t>Directly observed/tested in the cited artifact</t>
        </is>
      </c>
    </row>
    <row r="3" ht="36" customHeight="1">
      <c r="A3" s="2" t="inlineStr">
        <is>
          <t>Externally supported</t>
        </is>
      </c>
      <c r="B3" s="2" t="inlineStr">
        <is>
          <t>Supported by separate empirical literature or field evidence</t>
        </is>
      </c>
    </row>
    <row r="4" ht="36" customHeight="1">
      <c r="A4" s="2" t="inlineStr">
        <is>
          <t>Author-inferred</t>
        </is>
      </c>
      <c r="B4" s="2" t="inlineStr">
        <is>
          <t>Interpretive step explicitly made by authors/funder but not directly tested here</t>
        </is>
      </c>
    </row>
    <row r="5" ht="36" customHeight="1">
      <c r="A5" s="2" t="inlineStr">
        <is>
          <t>Assumed</t>
        </is>
      </c>
      <c r="B5" s="2" t="inlineStr">
        <is>
          <t>Necessary link in the theory of change with no direct support provided in the artifact</t>
        </is>
      </c>
    </row>
    <row r="6" ht="36" customHeight="1">
      <c r="A6" s="2" t="inlineStr">
        <is>
          <t>Unknown</t>
        </is>
      </c>
      <c r="B6" s="2" t="inlineStr">
        <is>
          <t>Insufficient information to code</t>
        </is>
      </c>
    </row>
    <row r="7" ht="36" customHeight="1">
      <c r="A7" s="2" t="inlineStr">
        <is>
          <t>Project-specific funding</t>
        </is>
      </c>
      <c r="B7" s="2" t="inlineStr">
        <is>
          <t>Artifact/project explicitly acknowledges or is identified as funded by the named funder</t>
        </is>
      </c>
    </row>
    <row r="8" ht="36" customHeight="1">
      <c r="A8" s="2" t="inlineStr">
        <is>
          <t>General organizational support</t>
        </is>
      </c>
      <c r="B8" s="2" t="inlineStr">
        <is>
          <t>Funder supports organization but no artifact-level causal attribution should be made</t>
        </is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4" customHeight="1">
      <c r="A1" s="4" t="inlineStr">
        <is>
          <t>Funder</t>
        </is>
      </c>
      <c r="B1" s="4" t="inlineStr">
        <is>
          <t>Program / source</t>
        </is>
      </c>
      <c r="C1" s="4" t="inlineStr">
        <is>
          <t>Observed problem framing</t>
        </is>
      </c>
      <c r="D1" s="4" t="inlineStr">
        <is>
          <t>Canonical URL</t>
        </is>
      </c>
    </row>
    <row r="2" ht="36" customHeight="1">
      <c r="A2" s="2" t="inlineStr">
        <is>
          <t>Coefficient Giving</t>
        </is>
      </c>
      <c r="B2" s="2" t="inlineStr">
        <is>
          <t>Technical AI Safety / broader AI safety grantmaking</t>
        </is>
      </c>
      <c r="C2" s="2" t="inlineStr">
        <is>
          <t>Catastrophic/worst-case AI risk; visibility into capabilities and risks; safeguards; research capacity; strong interest in empirical model/agent evaluations and control</t>
        </is>
      </c>
      <c r="D2" s="3" t="inlineStr">
        <is>
          <t>https://coefficientgiving.org/funds/navigating-transformative-ai/request-for-proposals-technical-ai-safety-research/</t>
        </is>
      </c>
    </row>
    <row r="3" ht="36" customHeight="1">
      <c r="A3" s="2" t="inlineStr">
        <is>
          <t>Schmidt Sciences</t>
        </is>
      </c>
      <c r="B3" s="2" t="inlineStr">
        <is>
          <t>Science of Trustworthy AI</t>
        </is>
      </c>
      <c r="C3" s="2" t="inlineStr">
        <is>
          <t>Foundational science of trustworthy AI; explicit emphasis on construct validity, predictive validity, distribution shift, long-horizon interaction, tool use, and multi-agent systems</t>
        </is>
      </c>
      <c r="D3" s="3" t="inlineStr">
        <is>
          <t>https://www.schmidtsciences.org/trustworthy-ai-research-agenda/</t>
        </is>
      </c>
    </row>
    <row r="4" ht="36" customHeight="1">
      <c r="A4" s="2" t="inlineStr">
        <is>
          <t>CSET</t>
        </is>
      </c>
      <c r="B4" s="2" t="inlineStr">
        <is>
          <t>Foundational Research Grants</t>
        </is>
      </c>
      <c r="C4" s="2" t="inlineStr">
        <is>
          <t>Foundational technical questions with long-term national-security implications; assurance, external scrutiny, frontier risk/regulation, security/nonproliferation</t>
        </is>
      </c>
      <c r="D4" s="3" t="inlineStr">
        <is>
          <t>https://cset.georgetown.edu/foundational-research-grants/</t>
        </is>
      </c>
    </row>
    <row r="5" ht="36" customHeight="1">
      <c r="A5" s="2" t="inlineStr">
        <is>
          <t>FMF / AISF</t>
        </is>
      </c>
      <c r="B5" s="2" t="inlineStr">
        <is>
          <t>AI Safety Fund</t>
        </is>
      </c>
      <c r="C5" s="2" t="inlineStr">
        <is>
          <t>Independent frontier-AI safety/security research; standardized third-party evaluations; targeted bio/cyber/agent/synthetic-content bottlenecks</t>
        </is>
      </c>
      <c r="D5" s="3" t="inlineStr">
        <is>
          <t>https://www.frontiermodelforum.org/ai-safety-fund/</t>
        </is>
      </c>
    </row>
    <row r="6" ht="36" customHeight="1">
      <c r="A6" s="2" t="inlineStr">
        <is>
          <t>SFF</t>
        </is>
      </c>
      <c r="B6" s="2" t="inlineStr">
        <is>
          <t>S-Process / targeted technical rounds</t>
        </is>
      </c>
      <c r="C6" s="2" t="inlineStr">
        <is>
          <t>Broad survival/flourishing and catastrophic-risk ecosystem; often organizational support plus targeted technical governance mechanisms</t>
        </is>
      </c>
      <c r="D6" s="3" t="inlineStr">
        <is>
          <t>https://survivalandflourishing.fund/recommendations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AI Security / AI-Bio Structured Observation Program — v1</t>
        </is>
      </c>
    </row>
    <row r="2" ht="36" customHeight="1">
      <c r="A2" s="2" t="inlineStr">
        <is>
          <t>Purpose: three distinct structured-observation sets that can later be analyzed together without forcing them into one ontology.</t>
        </is>
      </c>
    </row>
    <row r="3" ht="36" customHeight="1">
      <c r="A3" s="2" t="inlineStr">
        <is>
          <t>Set 1 asks what the funding ecosystem chooses to support and how claims connect to security outcomes.</t>
        </is>
      </c>
    </row>
    <row r="4" ht="36" customHeight="1">
      <c r="A4" s="2" t="inlineStr">
        <is>
          <t>Set 2 asks what AI-bio evaluations actually measure across biological workflows, configurations, and validation levels.</t>
        </is>
      </c>
    </row>
    <row r="5" ht="36" customHeight="1">
      <c r="A5" s="2" t="inlineStr">
        <is>
          <t>Set 3 asks what happens to perturbations as they move through relationships: propagation, buffering, detection, correction, recovery, feedback, and learning.</t>
        </is>
      </c>
    </row>
    <row r="6" ht="36" customHeight="1">
      <c r="A6" s="2" t="inlineStr">
        <is>
          <t>Cross-set synthesis: What we believe is threatening -&gt; what we fund -&gt; what we measure -&gt; what actually happens.</t>
        </is>
      </c>
    </row>
    <row r="7">
      <c r="A7" s="2" t="inlineStr">
        <is>
          <t>Important provenance rule: Author claims, direct demonstrations, and our inferences must remain separate.</t>
        </is>
      </c>
    </row>
    <row r="8">
      <c r="A8" s="2" t="inlineStr">
        <is>
          <t>Full-text rule: canonical full-text URLs are captured for every public source. Local archiving is recorded separately and never inferred.</t>
        </is>
      </c>
    </row>
    <row r="9">
      <c r="A9" s="2" t="inlineStr">
        <is>
          <t>Pilot status: schemas remain provisional. After reviewing these pilot records, revise before scaling the corpora.</t>
        </is>
      </c>
    </row>
    <row r="10">
      <c r="A10" t="inlineStr">
        <is>
          <t>v1.1 note: Original v1 pilot sheets are retained unchanged for provenance. Use *_v1_1 sheets and Schema_v1_1_* for subsequent coding.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4" customHeight="1">
      <c r="A1" s="4" t="inlineStr">
        <is>
          <t>Field</t>
        </is>
      </c>
      <c r="B1" s="4" t="inlineStr">
        <is>
          <t>Definition</t>
        </is>
      </c>
    </row>
    <row r="2">
      <c r="A2" s="2" t="inlineStr">
        <is>
          <t>record_id</t>
        </is>
      </c>
      <c r="B2" s="2" t="inlineStr">
        <is>
          <t>Unique record identifier</t>
        </is>
      </c>
    </row>
    <row r="3">
      <c r="A3" s="2" t="inlineStr">
        <is>
          <t>set</t>
        </is>
      </c>
      <c r="B3" s="2" t="inlineStr">
        <is>
          <t>Set 1 Funding / Set 2 Evaluation / Set 3 Trajectory</t>
        </is>
      </c>
    </row>
    <row r="4">
      <c r="A4" s="2" t="inlineStr">
        <is>
          <t>source_artifact</t>
        </is>
      </c>
      <c r="B4" s="2" t="inlineStr">
        <is>
          <t>Paper, report, RFP, benchmark, incident report, dataset, etc.</t>
        </is>
      </c>
    </row>
    <row r="5">
      <c r="A5" s="2" t="inlineStr">
        <is>
          <t>source_date</t>
        </is>
      </c>
      <c r="B5" s="2" t="inlineStr">
        <is>
          <t>Publication or artifact date/version</t>
        </is>
      </c>
    </row>
    <row r="6">
      <c r="A6" s="2" t="inlineStr">
        <is>
          <t>system_boundary</t>
        </is>
      </c>
      <c r="B6" s="2" t="inlineStr">
        <is>
          <t>What the observation includes and excludes</t>
        </is>
      </c>
    </row>
    <row r="7">
      <c r="A7" s="2" t="inlineStr">
        <is>
          <t>components</t>
        </is>
      </c>
      <c r="B7" s="2" t="inlineStr">
        <is>
          <t>Actors, models, tools, data, organizations, physical processes inside boundary</t>
        </is>
      </c>
    </row>
    <row r="8">
      <c r="A8" s="2" t="inlineStr">
        <is>
          <t>relationships_interfaces</t>
        </is>
      </c>
      <c r="B8" s="2" t="inlineStr">
        <is>
          <t>Interfaces linking components</t>
        </is>
      </c>
    </row>
    <row r="9">
      <c r="A9" s="2" t="inlineStr">
        <is>
          <t>flow</t>
        </is>
      </c>
      <c r="B9" s="2" t="inlineStr">
        <is>
          <t>What crosses the relationship: information, context, authority, decision, code, material, etc.</t>
        </is>
      </c>
    </row>
    <row r="10">
      <c r="A10" s="2" t="inlineStr">
        <is>
          <t>measurement_or_perturbation</t>
        </is>
      </c>
      <c r="B10" s="2" t="inlineStr">
        <is>
          <t>What is measured or changed</t>
        </is>
      </c>
    </row>
    <row r="11">
      <c r="A11" s="2" t="inlineStr">
        <is>
          <t>observed_outcome</t>
        </is>
      </c>
      <c r="B11" s="2" t="inlineStr">
        <is>
          <t>Directly observed result</t>
        </is>
      </c>
    </row>
    <row r="12">
      <c r="A12" s="2" t="inlineStr">
        <is>
          <t>security_inference</t>
        </is>
      </c>
      <c r="B12" s="2" t="inlineStr">
        <is>
          <t>Security/safety implication claimed or inferred</t>
        </is>
      </c>
    </row>
    <row r="13">
      <c r="A13" s="2" t="inlineStr">
        <is>
          <t>evidence_level</t>
        </is>
      </c>
      <c r="B13" s="2" t="inlineStr">
        <is>
          <t>Demonstrated / externally supported / author-inferred / assumed / unknown</t>
        </is>
      </c>
    </row>
    <row r="14">
      <c r="A14" s="2" t="inlineStr">
        <is>
          <t>provenance_type</t>
        </is>
      </c>
      <c r="B14" s="2" t="inlineStr">
        <is>
          <t>Direct source / author claim / our inference / unknown</t>
        </is>
      </c>
    </row>
    <row r="15">
      <c r="A15" s="2" t="inlineStr">
        <is>
          <t>claim_demonstration_gap</t>
        </is>
      </c>
      <c r="B15" s="2" t="inlineStr">
        <is>
          <t>Whether claim extends beyond direct finding and how</t>
        </is>
      </c>
    </row>
    <row r="16">
      <c r="A16" s="2" t="inlineStr">
        <is>
          <t>boundary_sensitivity</t>
        </is>
      </c>
      <c r="B16" s="2" t="inlineStr">
        <is>
          <t>Could conclusion change if boundary expanded? Why?</t>
        </is>
      </c>
    </row>
    <row r="17">
      <c r="A17" s="2" t="inlineStr">
        <is>
          <t>context_metadata_provenance</t>
        </is>
      </c>
      <c r="B17" s="2" t="inlineStr">
        <is>
          <t>What contextual information is preserved/lost/required</t>
        </is>
      </c>
    </row>
    <row r="18">
      <c r="A18" s="2" t="inlineStr">
        <is>
          <t>authority_control</t>
        </is>
      </c>
      <c r="B18" s="2" t="inlineStr">
        <is>
          <t>Where permission, decision authority, or control resides/moves</t>
        </is>
      </c>
    </row>
    <row r="19">
      <c r="A19" s="2" t="inlineStr">
        <is>
          <t>feedback_update</t>
        </is>
      </c>
      <c r="B19" s="2" t="inlineStr">
        <is>
          <t>Whether consequence returns as feedback; whether model/system updates</t>
        </is>
      </c>
    </row>
    <row r="20">
      <c r="A20" s="2" t="inlineStr">
        <is>
          <t>downstream_lineage</t>
        </is>
      </c>
      <c r="B20" s="2" t="inlineStr">
        <is>
          <t>Subsequent use, policy, model card, benchmark adoption, follow-on work</t>
        </is>
      </c>
    </row>
    <row r="21">
      <c r="A21" s="2" t="inlineStr">
        <is>
          <t>canonical_url</t>
        </is>
      </c>
      <c r="B21" s="2" t="inlineStr">
        <is>
          <t>Primary source URL</t>
        </is>
      </c>
    </row>
    <row r="22">
      <c r="A22" s="2" t="inlineStr">
        <is>
          <t>full_text_url</t>
        </is>
      </c>
      <c r="B22" s="2" t="inlineStr">
        <is>
          <t>Direct full-text URL when public</t>
        </is>
      </c>
    </row>
    <row r="23">
      <c r="A23" s="2" t="inlineStr">
        <is>
          <t>local_archive_status</t>
        </is>
      </c>
      <c r="B23" s="2" t="inlineStr">
        <is>
          <t>Locally archived / canonical link only / restricted / unavailable</t>
        </is>
      </c>
    </row>
    <row r="24">
      <c r="A24" s="2" t="inlineStr">
        <is>
          <t>emergent_observation</t>
        </is>
      </c>
      <c r="B24" s="2" t="inlineStr">
        <is>
          <t>Important feature not captured cleanly by schema</t>
        </is>
      </c>
    </row>
  </sheetData>
  <autoFilter ref="A1:B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4" t="inlineStr">
        <is>
          <t>Set 1 Field</t>
        </is>
      </c>
      <c r="B1" s="4" t="inlineStr">
        <is>
          <t>Definition</t>
        </is>
      </c>
    </row>
    <row r="2">
      <c r="A2" s="2" t="inlineStr">
        <is>
          <t>funder</t>
        </is>
      </c>
      <c r="B2" s="2" t="inlineStr">
        <is>
          <t>Funding organization(s)</t>
        </is>
      </c>
    </row>
    <row r="3">
      <c r="A3" s="2" t="inlineStr">
        <is>
          <t>program_rfp</t>
        </is>
      </c>
      <c r="B3" s="2" t="inlineStr">
        <is>
          <t>Program, RFP, or grant mechanism</t>
        </is>
      </c>
    </row>
    <row r="4">
      <c r="A4" s="2" t="inlineStr">
        <is>
          <t>award_year</t>
        </is>
      </c>
      <c r="B4" s="2" t="inlineStr">
        <is>
          <t>Year</t>
        </is>
      </c>
    </row>
    <row r="5">
      <c r="A5" s="2" t="inlineStr">
        <is>
          <t>recipient</t>
        </is>
      </c>
      <c r="B5" s="2" t="inlineStr">
        <is>
          <t>Recipient</t>
        </is>
      </c>
    </row>
    <row r="6">
      <c r="A6" s="2" t="inlineStr">
        <is>
          <t>funding_attribution_strength</t>
        </is>
      </c>
      <c r="B6" s="2" t="inlineStr">
        <is>
          <t>Direct project-specific / co-funded / general organizational / infrastructure / unclear</t>
        </is>
      </c>
    </row>
    <row r="7">
      <c r="A7" s="2" t="inlineStr">
        <is>
          <t>funder_problem_frame</t>
        </is>
      </c>
      <c r="B7" s="2" t="inlineStr">
        <is>
          <t>How funder/RFP frames threat or scientific problem</t>
        </is>
      </c>
    </row>
    <row r="8">
      <c r="A8" s="2" t="inlineStr">
        <is>
          <t>research_question</t>
        </is>
      </c>
      <c r="B8" s="2" t="inlineStr">
        <is>
          <t>Primary research question</t>
        </is>
      </c>
    </row>
    <row r="9">
      <c r="A9" s="2" t="inlineStr">
        <is>
          <t>threat_harm</t>
        </is>
      </c>
      <c r="B9" s="2" t="inlineStr">
        <is>
          <t>Stated threat/harm</t>
        </is>
      </c>
    </row>
    <row r="10">
      <c r="A10" s="2" t="inlineStr">
        <is>
          <t>construct</t>
        </is>
      </c>
      <c r="B10" s="2" t="inlineStr">
        <is>
          <t>Security/safety construct intended to be understood</t>
        </is>
      </c>
    </row>
    <row r="11">
      <c r="A11" s="2" t="inlineStr">
        <is>
          <t>proxy_measure</t>
        </is>
      </c>
      <c r="B11" s="2" t="inlineStr">
        <is>
          <t>Operational proxy or measurement</t>
        </is>
      </c>
    </row>
    <row r="12">
      <c r="A12" s="2" t="inlineStr">
        <is>
          <t>evidence_type</t>
        </is>
      </c>
      <c r="B12" s="2" t="inlineStr">
        <is>
          <t>Benchmark, simulation, expert elicitation, human study, field data, wet lab, deployment, etc.</t>
        </is>
      </c>
    </row>
    <row r="13">
      <c r="A13" s="2" t="inlineStr">
        <is>
          <t>configuration</t>
        </is>
      </c>
      <c r="B13" s="2" t="inlineStr">
        <is>
          <t>Model-only / model+tools / human+AI / agent / physical execution / deployed system</t>
        </is>
      </c>
    </row>
    <row r="14">
      <c r="A14" s="2" t="inlineStr">
        <is>
          <t>author_claim</t>
        </is>
      </c>
      <c r="B14" s="2" t="inlineStr">
        <is>
          <t>What authors/funder say result implies</t>
        </is>
      </c>
    </row>
    <row r="15">
      <c r="A15" s="2" t="inlineStr">
        <is>
          <t>direct_demonstration</t>
        </is>
      </c>
      <c r="B15" s="2" t="inlineStr">
        <is>
          <t>What study directly establishes</t>
        </is>
      </c>
    </row>
    <row r="16">
      <c r="A16" s="2" t="inlineStr">
        <is>
          <t>validation_construct</t>
        </is>
      </c>
      <c r="B16" s="2" t="inlineStr">
        <is>
          <t>Evidence of construct validity</t>
        </is>
      </c>
    </row>
    <row r="17">
      <c r="A17" s="2" t="inlineStr">
        <is>
          <t>validation_ecological</t>
        </is>
      </c>
      <c r="B17" s="2" t="inlineStr">
        <is>
          <t>Evidence of ecological validity</t>
        </is>
      </c>
    </row>
    <row r="18">
      <c r="A18" s="2" t="inlineStr">
        <is>
          <t>validation_predictive</t>
        </is>
      </c>
      <c r="B18" s="2" t="inlineStr">
        <is>
          <t>Evidence of predictive validity</t>
        </is>
      </c>
    </row>
    <row r="19">
      <c r="A19" s="2" t="inlineStr">
        <is>
          <t>security_linkage</t>
        </is>
      </c>
      <c r="B19" s="2" t="inlineStr">
        <is>
          <t>Evidence linking measure to consequential security outcome</t>
        </is>
      </c>
    </row>
    <row r="20">
      <c r="A20" s="2" t="inlineStr">
        <is>
          <t>theory_of_change_chain</t>
        </is>
      </c>
      <c r="B20" s="2" t="inlineStr">
        <is>
          <t>Threat -&gt; construct -&gt; proxy -&gt; result -&gt; inferred risk/capability -&gt; intervention -&gt; expected security effect</t>
        </is>
      </c>
    </row>
    <row r="21">
      <c r="A21" s="2" t="inlineStr">
        <is>
          <t>arrow_evidence_codes</t>
        </is>
      </c>
      <c r="B21" s="2" t="inlineStr">
        <is>
          <t>Evidence status for each major arrow</t>
        </is>
      </c>
    </row>
  </sheetData>
  <autoFilter ref="A1:B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26" customWidth="1" min="4" max="4"/>
    <col width="28" customWidth="1" min="5" max="5"/>
    <col width="26" customWidth="1" min="6" max="6"/>
    <col width="24" customWidth="1" min="7" max="7"/>
    <col width="30" customWidth="1" min="8" max="8"/>
    <col width="28" customWidth="1" min="9" max="9"/>
    <col width="24" customWidth="1" min="10" max="10"/>
    <col width="24" customWidth="1" min="11" max="11"/>
    <col width="20" customWidth="1" min="12" max="12"/>
    <col width="28" customWidth="1" min="13" max="13"/>
    <col width="42" customWidth="1" min="14" max="14"/>
    <col width="42" customWidth="1" min="15" max="15"/>
    <col width="24" customWidth="1" min="16" max="16"/>
    <col width="24" customWidth="1" min="17" max="17"/>
    <col width="24" customWidth="1" min="18" max="18"/>
    <col width="36" customWidth="1" min="19" max="19"/>
    <col width="32" customWidth="1" min="20" max="20"/>
    <col width="24" customWidth="1" min="21" max="21"/>
    <col width="44" customWidth="1" min="22" max="22"/>
    <col width="38" customWidth="1" min="23" max="23"/>
    <col width="38" customWidth="1" min="24" max="24"/>
    <col width="26" customWidth="1" min="25" max="25"/>
    <col width="38" customWidth="1" min="26" max="26"/>
  </cols>
  <sheetData>
    <row r="1" ht="34" customHeight="1">
      <c r="A1" s="4" t="inlineStr">
        <is>
          <t>id</t>
        </is>
      </c>
      <c r="B1" s="4" t="inlineStr">
        <is>
          <t>evaluation</t>
        </is>
      </c>
      <c r="C1" s="4" t="inlineStr">
        <is>
          <t>year</t>
        </is>
      </c>
      <c r="D1" s="4" t="inlineStr">
        <is>
          <t>developers_authors</t>
        </is>
      </c>
      <c r="E1" s="4" t="inlineStr">
        <is>
          <t>capability_or_safeguard</t>
        </is>
      </c>
      <c r="F1" s="4" t="inlineStr">
        <is>
          <t>workflow_stage</t>
        </is>
      </c>
      <c r="G1" s="4" t="inlineStr">
        <is>
          <t>configuration</t>
        </is>
      </c>
      <c r="H1" s="4" t="inlineStr">
        <is>
          <t>inputs_context</t>
        </is>
      </c>
      <c r="I1" s="4" t="inlineStr">
        <is>
          <t>outputs_actions</t>
        </is>
      </c>
      <c r="J1" s="4" t="inlineStr">
        <is>
          <t>endpoint</t>
        </is>
      </c>
      <c r="K1" s="4" t="inlineStr">
        <is>
          <t>ground_truth_or_baseline</t>
        </is>
      </c>
      <c r="L1" s="4" t="inlineStr">
        <is>
          <t>evidence_type</t>
        </is>
      </c>
      <c r="M1" s="4" t="inlineStr">
        <is>
          <t>construct</t>
        </is>
      </c>
      <c r="N1" s="4" t="inlineStr">
        <is>
          <t>direct_demonstration</t>
        </is>
      </c>
      <c r="O1" s="4" t="inlineStr">
        <is>
          <t>claimed_biosecurity_relevance</t>
        </is>
      </c>
      <c r="P1" s="4" t="inlineStr">
        <is>
          <t>construct_validity</t>
        </is>
      </c>
      <c r="Q1" s="4" t="inlineStr">
        <is>
          <t>ecological_validity</t>
        </is>
      </c>
      <c r="R1" s="4" t="inlineStr">
        <is>
          <t>predictive_validity</t>
        </is>
      </c>
      <c r="S1" s="4" t="inlineStr">
        <is>
          <t>security_linkage</t>
        </is>
      </c>
      <c r="T1" s="4" t="inlineStr">
        <is>
          <t>context_provenance</t>
        </is>
      </c>
      <c r="U1" s="4" t="inlineStr">
        <is>
          <t>boundary_sensitivity</t>
        </is>
      </c>
      <c r="V1" s="4" t="inlineStr">
        <is>
          <t>theory_chain</t>
        </is>
      </c>
      <c r="W1" s="4" t="inlineStr">
        <is>
          <t>canonical_url</t>
        </is>
      </c>
      <c r="X1" s="4" t="inlineStr">
        <is>
          <t>full_text_url</t>
        </is>
      </c>
      <c r="Y1" s="4" t="inlineStr">
        <is>
          <t>local_archive_status</t>
        </is>
      </c>
      <c r="Z1" s="4" t="inlineStr">
        <is>
          <t>notes</t>
        </is>
      </c>
    </row>
    <row r="2">
      <c r="A2" s="2" t="inlineStr">
        <is>
          <t>E01</t>
        </is>
      </c>
      <c r="B2" s="2" t="inlineStr">
        <is>
          <t>LAB-Bench</t>
        </is>
      </c>
      <c r="C2" s="2" t="inlineStr">
        <is>
          <t>2024</t>
        </is>
      </c>
      <c r="D2" s="2" t="inlineStr">
        <is>
          <t>FutureHouse / Laurent et al.</t>
        </is>
      </c>
      <c r="E2" s="2" t="inlineStr">
        <is>
          <t>Practical biology research capability</t>
        </is>
      </c>
      <c r="F2" s="2" t="inlineStr">
        <is>
          <t>Literature, figures, databases, protocols, sequence reasoning</t>
        </is>
      </c>
      <c r="G2" s="2" t="inlineStr">
        <is>
          <t>Model-only QA</t>
        </is>
      </c>
      <c r="H2" s="2" t="inlineStr">
        <is>
          <t>Curated biology questions; task-specific context</t>
        </is>
      </c>
      <c r="I2" s="2" t="inlineStr">
        <is>
          <t>Multiple-choice answers</t>
        </is>
      </c>
      <c r="J2" s="2" t="inlineStr">
        <is>
          <t>Accuracy by subtask</t>
        </is>
      </c>
      <c r="K2" s="2" t="inlineStr">
        <is>
          <t>Expert estimates / task-specific baselines</t>
        </is>
      </c>
      <c r="L2" s="2" t="inlineStr">
        <is>
          <t>Static benchmark</t>
        </is>
      </c>
      <c r="M2" s="2" t="inlineStr">
        <is>
          <t>Practical biology research assistance</t>
        </is>
      </c>
      <c r="N2" s="2" t="inlineStr">
        <is>
          <t>Measures performance on 2,400+ practical biology questions</t>
        </is>
      </c>
      <c r="O2" s="2" t="inlineStr">
        <is>
          <t>High performance may indicate useful biology research assistance and possible uplift</t>
        </is>
      </c>
      <c r="P2" s="2" t="inlineStr">
        <is>
          <t>Moderate: expert-curated practical tasks, but proxy remains QA</t>
        </is>
      </c>
      <c r="Q2" s="2" t="inlineStr">
        <is>
          <t>Low-moderate: no physical workflow</t>
        </is>
      </c>
      <c r="R2" s="2" t="inlineStr">
        <is>
          <t>Unknown/limited</t>
        </is>
      </c>
      <c r="S2" s="2" t="inlineStr">
        <is>
          <t>Indirect: QA performance -&gt; research capability -&gt; misuse/benefit</t>
        </is>
      </c>
      <c r="T2" s="2" t="inlineStr">
        <is>
          <t>Question context present; real experimental context absent</t>
        </is>
      </c>
      <c r="U2" s="2" t="inlineStr">
        <is>
          <t>High</t>
        </is>
      </c>
      <c r="V2" s="2" t="inlineStr">
        <is>
          <t>Bio capability concern -&gt; practical knowledge proxy -&gt; benchmark accuracy -&gt; inferred research assistance -&gt; biosecurity relevance</t>
        </is>
      </c>
      <c r="W2" s="2" t="inlineStr">
        <is>
          <t>https://arxiv.org/abs/2407.10362</t>
        </is>
      </c>
      <c r="X2" s="2" t="inlineStr">
        <is>
          <t>https://arxiv.org/pdf/2407.10362</t>
        </is>
      </c>
      <c r="Y2" s="2" t="inlineStr">
        <is>
          <t>Canonical link captured</t>
        </is>
      </c>
      <c r="Z2" s="2" t="inlineStr">
        <is>
          <t>Useful static baseline for comparison with agentic/wet-lab studies.</t>
        </is>
      </c>
    </row>
    <row r="3">
      <c r="A3" s="2" t="inlineStr">
        <is>
          <t>E02</t>
        </is>
      </c>
      <c r="B3" s="2" t="inlineStr">
        <is>
          <t>Virology Capabilities Test (VCT)</t>
        </is>
      </c>
      <c r="C3" s="2" t="inlineStr">
        <is>
          <t>2025</t>
        </is>
      </c>
      <c r="D3" s="2" t="inlineStr">
        <is>
          <t>SecureBio</t>
        </is>
      </c>
      <c r="E3" s="2" t="inlineStr">
        <is>
          <t>Tacit/practical virology troubleshooting knowledge</t>
        </is>
      </c>
      <c r="F3" s="2" t="inlineStr">
        <is>
          <t>Experimental troubleshooting / virology knowledge</t>
        </is>
      </c>
      <c r="G3" s="2" t="inlineStr">
        <is>
          <t>Model-only multimodal QA</t>
        </is>
      </c>
      <c r="H3" s="2" t="inlineStr">
        <is>
          <t>Expert-authored text/images, original micrographs/photos</t>
        </is>
      </c>
      <c r="I3" s="2" t="inlineStr">
        <is>
          <t>Answers to 322 multimodal questions</t>
        </is>
      </c>
      <c r="J3" s="2" t="inlineStr">
        <is>
          <t>Accuracy vs human experts</t>
        </is>
      </c>
      <c r="K3" s="2" t="inlineStr">
        <is>
          <t>Expert virologist baseline</t>
        </is>
      </c>
      <c r="L3" s="2" t="inlineStr">
        <is>
          <t>Static multimodal benchmark</t>
        </is>
      </c>
      <c r="M3" s="2" t="inlineStr">
        <is>
          <t>Hands-on virology troubleshooting capability</t>
        </is>
      </c>
      <c r="N3" s="2" t="inlineStr">
        <is>
          <t>Leading models can exceed average expert performance on benchmark questions</t>
        </is>
      </c>
      <c r="O3" s="2" t="inlineStr">
        <is>
          <t>Benchmark performance is treated as evidence relevant to model bio-risk assessment</t>
        </is>
      </c>
      <c r="P3" s="2" t="inlineStr">
        <is>
          <t>Moderate-high for knowledge construct; expert construction and baseline</t>
        </is>
      </c>
      <c r="Q3" s="2" t="inlineStr">
        <is>
          <t>Moderate-low: practical questions, no wet-lab execution</t>
        </is>
      </c>
      <c r="R3" s="2" t="inlineStr">
        <is>
          <t>Unknown</t>
        </is>
      </c>
      <c r="S3" s="2" t="inlineStr">
        <is>
          <t>Indirect: troubleshooting knowledge -&gt; practical assistance -&gt; risk</t>
        </is>
      </c>
      <c r="T3" s="2" t="inlineStr">
        <is>
          <t>Rich question context but not live lab state</t>
        </is>
      </c>
      <c r="U3" s="2" t="inlineStr">
        <is>
          <t>High</t>
        </is>
      </c>
      <c r="V3" s="2" t="inlineStr">
        <is>
          <t>Bio misuse concern -&gt; virology troubleshooting construct -&gt; VCT score -&gt; inferred assistance -&gt; governance/safeguards</t>
        </is>
      </c>
      <c r="W3" s="2" t="inlineStr">
        <is>
          <t>https://arxiv.org/abs/2504.16137</t>
        </is>
      </c>
      <c r="X3" s="2" t="inlineStr">
        <is>
          <t>https://arxiv.org/pdf/2504.16137</t>
        </is>
      </c>
      <c r="Y3" s="2" t="inlineStr">
        <is>
          <t>Canonical link captured</t>
        </is>
      </c>
      <c r="Z3" s="2" t="inlineStr">
        <is>
          <t>Strong expert baseline but still measures answers, not execution.</t>
        </is>
      </c>
    </row>
    <row r="4">
      <c r="A4" s="2" t="inlineStr">
        <is>
          <t>E03</t>
        </is>
      </c>
      <c r="B4" s="2" t="inlineStr">
        <is>
          <t>ABC-Bench</t>
        </is>
      </c>
      <c r="C4" s="2" t="inlineStr">
        <is>
          <t>2026</t>
        </is>
      </c>
      <c r="D4" s="2" t="inlineStr">
        <is>
          <t>Liu et al. / SecureBio-affiliated authors</t>
        </is>
      </c>
      <c r="E4" s="2" t="inlineStr">
        <is>
          <t>Agentic bio capability: lab automation, DNA assembly design, screening evasion</t>
        </is>
      </c>
      <c r="F4" s="2" t="inlineStr">
        <is>
          <t>Planning -&gt; robot control -&gt; DNA assembly; sequence design; screening</t>
        </is>
      </c>
      <c r="G4" s="2" t="inlineStr">
        <is>
          <t>Agent + tools; selected wet-lab validation</t>
        </is>
      </c>
      <c r="H4" s="2" t="inlineStr">
        <is>
          <t>Manuals, photos, concentrations, task context</t>
        </is>
      </c>
      <c r="I4" s="2" t="inlineStr">
        <is>
          <t>Robot-control code, DNA designs, screening-evasion outputs</t>
        </is>
      </c>
      <c r="J4" s="2" t="inlineStr">
        <is>
          <t>Task success; expert comparison; wet-lab assembly validation</t>
        </is>
      </c>
      <c r="K4" s="2" t="inlineStr">
        <is>
          <t>Median expert human baselines; sequencing-confirmed assembly for robot task</t>
        </is>
      </c>
      <c r="L4" s="2" t="inlineStr">
        <is>
          <t>Agent benchmark + wet-lab validation</t>
        </is>
      </c>
      <c r="M4" s="2" t="inlineStr">
        <is>
          <t>Agentic biological workflow capability</t>
        </is>
      </c>
      <c r="N4" s="2" t="inlineStr">
        <is>
          <t>Agents outperform median expert baseliners on three tasks; selected scripts executed successfully on OpenTrons and assembled expected DNA</t>
        </is>
      </c>
      <c r="O4" s="2" t="inlineStr">
        <is>
          <t>More direct evidence of agentic workflow capability than QA benchmarks</t>
        </is>
      </c>
      <c r="P4" s="2" t="inlineStr">
        <is>
          <t>High for task construct</t>
        </is>
      </c>
      <c r="Q4" s="2" t="inlineStr">
        <is>
          <t>Moderate-high for robot-control task due physical validation; lower for other tasks</t>
        </is>
      </c>
      <c r="R4" s="2" t="inlineStr">
        <is>
          <t>Still limited for downstream harm prediction</t>
        </is>
      </c>
      <c r="S4" s="2" t="inlineStr">
        <is>
          <t>Moderate: demonstrates physical execution for a bounded benign task; biosecurity implication remains inferred</t>
        </is>
      </c>
      <c r="T4" s="2" t="inlineStr">
        <is>
          <t>Real manuals/visual input and execution feedback used in validation</t>
        </is>
      </c>
      <c r="U4" s="2" t="inlineStr">
        <is>
          <t>Moderate</t>
        </is>
      </c>
      <c r="V4" s="2" t="inlineStr">
        <is>
          <t>Agentic bio threat -&gt; multi-step capability -&gt; task success/wet-lab validation -&gt; inferred broader biosecurity capability</t>
        </is>
      </c>
      <c r="W4" s="2" t="inlineStr">
        <is>
          <t>https://arxiv.org/abs/2606.11150</t>
        </is>
      </c>
      <c r="X4" s="2" t="inlineStr">
        <is>
          <t>https://arxiv.org/pdf/2606.11150</t>
        </is>
      </c>
      <c r="Y4" s="2" t="inlineStr">
        <is>
          <t>Canonical link captured</t>
        </is>
      </c>
      <c r="Z4" s="2" t="inlineStr">
        <is>
          <t>Key bridge case from benchmark to physical execution.</t>
        </is>
      </c>
    </row>
    <row r="5">
      <c r="A5" s="2" t="inlineStr">
        <is>
          <t>E04</t>
        </is>
      </c>
      <c r="B5" s="2" t="inlineStr">
        <is>
          <t>BioDesignBench</t>
        </is>
      </c>
      <c r="C5" s="2" t="inlineStr">
        <is>
          <t>2026</t>
        </is>
      </c>
      <c r="D5" s="2" t="inlineStr">
        <is>
          <t>Kim &amp; Romero</t>
        </is>
      </c>
      <c r="E5" s="2" t="inlineStr">
        <is>
          <t>LLM-agent protein design workflow performance</t>
        </is>
      </c>
      <c r="F5" s="2" t="inlineStr">
        <is>
          <t>Protein design: generate -&gt; evaluate -&gt; iterate -&gt; select</t>
        </is>
      </c>
      <c r="G5" s="2" t="inlineStr">
        <is>
          <t>Agent + computational protein-design tools</t>
        </is>
      </c>
      <c r="H5" s="2" t="inlineStr">
        <is>
          <t>Natural-language task + tool outputs</t>
        </is>
      </c>
      <c r="I5" s="2" t="inlineStr">
        <is>
          <t>Candidate sequences/design evidence</t>
        </is>
      </c>
      <c r="J5" s="2" t="inlineStr">
        <is>
          <t>Composite task performance; tool-use traces</t>
        </is>
      </c>
      <c r="K5" s="2" t="inlineStr">
        <is>
          <t>Expert and deterministic pipeline baselines</t>
        </is>
      </c>
      <c r="L5" s="2" t="inlineStr">
        <is>
          <t>Agent benchmark + controlled intervention</t>
        </is>
      </c>
      <c r="M5" s="2" t="inlineStr">
        <is>
          <t>Autonomous orchestration of protein design workflows</t>
        </is>
      </c>
      <c r="N5" s="2" t="inlineStr">
        <is>
          <t>Strongest agents beat deterministic pipelines but underperform experts; forced-depth evaluation improves performance</t>
        </is>
      </c>
      <c r="O5" s="2" t="inlineStr">
        <is>
          <t>Shows behavior at agent-tool relationships matters, not only tool access</t>
        </is>
      </c>
      <c r="P5" s="2" t="inlineStr">
        <is>
          <t>High for in-silico workflow behavior</t>
        </is>
      </c>
      <c r="Q5" s="2" t="inlineStr">
        <is>
          <t>Moderate: realistic toolchain but entirely in silico</t>
        </is>
      </c>
      <c r="R5" s="2" t="inlineStr">
        <is>
          <t>Unknown for wet-lab/design success beyond computational metrics</t>
        </is>
      </c>
      <c r="S5" s="2" t="inlineStr">
        <is>
          <t>Indirect to biosecurity; direct for agentic scientific workflow behavior</t>
        </is>
      </c>
      <c r="T5" s="2" t="inlineStr">
        <is>
          <t>Tool outputs and metrics available; evaluation depth varied</t>
        </is>
      </c>
      <c r="U5" s="2" t="inlineStr">
        <is>
          <t>Moderate</t>
        </is>
      </c>
      <c r="V5" s="2" t="inlineStr">
        <is>
          <t>Agentic scientific capability -&gt; workflow behavior -&gt; design score -&gt; inferred capability</t>
        </is>
      </c>
      <c r="W5" s="2" t="inlineStr">
        <is>
          <t>https://pmc.ncbi.nlm.nih.gov/articles/PMC13174699/</t>
        </is>
      </c>
      <c r="X5" s="2" t="inlineStr">
        <is>
          <t>https://pmc.ncbi.nlm.nih.gov/articles/PMC13174699/</t>
        </is>
      </c>
      <c r="Y5" s="2" t="inlineStr">
        <is>
          <t>Full text public on PMC; canonical link captured</t>
        </is>
      </c>
      <c r="Z5" s="2" t="inlineStr">
        <is>
          <t>Excellent relational case: same tools, different evaluation behavior changes outcome.</t>
        </is>
      </c>
    </row>
    <row r="6">
      <c r="A6" s="2" t="inlineStr">
        <is>
          <t>E05</t>
        </is>
      </c>
      <c r="B6" s="2" t="inlineStr">
        <is>
          <t>AIPD TEVV with safe biological proxies</t>
        </is>
      </c>
      <c r="C6" s="2" t="inlineStr">
        <is>
          <t>2025-2026</t>
        </is>
      </c>
      <c r="D6" s="2" t="inlineStr">
        <is>
          <t>Ikonomova et al. / NIST + collaborators</t>
        </is>
      </c>
      <c r="E6" s="2" t="inlineStr">
        <is>
          <t>AI-assisted protein redesign while retaining function and evading screening</t>
        </is>
      </c>
      <c r="F6" s="2" t="inlineStr">
        <is>
          <t>Computational design -&gt; synthesis/testing -&gt; screening</t>
        </is>
      </c>
      <c r="G6" s="2" t="inlineStr">
        <is>
          <t>AI design tools + physical wet-lab validation + screening</t>
        </is>
      </c>
      <c r="H6" s="2" t="inlineStr">
        <is>
          <t>Native protein templates; generated homologs; safe proxies</t>
        </is>
      </c>
      <c r="I6" s="2" t="inlineStr">
        <is>
          <t>Designed sequences and experimentally measured activity/screening outcomes</t>
        </is>
      </c>
      <c r="J6" s="2" t="inlineStr">
        <is>
          <t>Ability to retain activity while changing sequence and evading BSS</t>
        </is>
      </c>
      <c r="K6" s="2" t="inlineStr">
        <is>
          <t>Native activity and BSS detection; physical assays</t>
        </is>
      </c>
      <c r="L6" s="2" t="inlineStr">
        <is>
          <t>TEVV / wet-lab validation</t>
        </is>
      </c>
      <c r="M6" s="2" t="inlineStr">
        <is>
          <t>Practical severity of AI protein-design screening-evasion vulnerability</t>
        </is>
      </c>
      <c r="N6" s="2" t="inlineStr">
        <is>
          <t>Current systems can generate structurally similar homologs but do not reliably retain activity while evading screening</t>
        </is>
      </c>
      <c r="O6" s="2" t="inlineStr">
        <is>
          <t>Directly tests a previously in-silico risk claim and finds important physical constraint</t>
        </is>
      </c>
      <c r="P6" s="2" t="inlineStr">
        <is>
          <t>High</t>
        </is>
      </c>
      <c r="Q6" s="2" t="inlineStr">
        <is>
          <t>High: physical testing of safe proxies</t>
        </is>
      </c>
      <c r="R6" s="2" t="inlineStr">
        <is>
          <t>Moderate for current-tool risk; extrapolation to future tools uncertain</t>
        </is>
      </c>
      <c r="S6" s="2" t="inlineStr">
        <is>
          <t>Direct for tested capability; broader catastrophic relevance indirect</t>
        </is>
      </c>
      <c r="T6" s="2" t="inlineStr">
        <is>
          <t>Physical activity and screening results restore context missing from in-silico prediction</t>
        </is>
      </c>
      <c r="U6" s="2" t="inlineStr">
        <is>
          <t>Moderate</t>
        </is>
      </c>
      <c r="V6" s="2" t="inlineStr">
        <is>
          <t>In-silico evasion concern -&gt; generated homologs -&gt; physical function + screening tests -&gt; revised risk estimate</t>
        </is>
      </c>
      <c r="W6" s="2" t="inlineStr">
        <is>
          <t>https://www.nist.gov/publications/experimental-evaluation-ai-driven-protein-design-risks-using-safe-biological-proxies</t>
        </is>
      </c>
      <c r="X6" s="2" t="inlineStr">
        <is>
          <t>https://www.biorxiv.org/content/10.1101/2025.05.15.654077v2.full.pdf</t>
        </is>
      </c>
      <c r="Y6" s="2" t="inlineStr">
        <is>
          <t>Canonical link captured</t>
        </is>
      </c>
      <c r="Z6" s="2" t="inlineStr">
        <is>
          <t>Strong example where physical validation changes security interpretation.</t>
        </is>
      </c>
    </row>
    <row r="7">
      <c r="A7" s="2" t="inlineStr">
        <is>
          <t>E06</t>
        </is>
      </c>
      <c r="B7" s="2" t="inlineStr">
        <is>
          <t>LANL skill-based uplift wet-lab pilot</t>
        </is>
      </c>
      <c r="C7" s="2" t="inlineStr">
        <is>
          <t>2025</t>
        </is>
      </c>
      <c r="D7" s="2" t="inlineStr">
        <is>
          <t>Romero-Severson et al.</t>
        </is>
      </c>
      <c r="E7" s="2" t="inlineStr">
        <is>
          <t>Human skill uplift from AI in real lab</t>
        </is>
      </c>
      <c r="F7" s="2" t="inlineStr">
        <is>
          <t>Transformation -&gt; expression -&gt; mass-spec confirmation</t>
        </is>
      </c>
      <c r="G7" s="2" t="inlineStr">
        <is>
          <t>Human + AI vs human + internet; physical execution</t>
        </is>
      </c>
      <c r="H7" s="2" t="inlineStr">
        <is>
          <t>Protocol/task materials, lab equipment, AI or internet</t>
        </is>
      </c>
      <c r="I7" s="2" t="inlineStr">
        <is>
          <t>Participant actions and experimental outputs</t>
        </is>
      </c>
      <c r="J7" s="2" t="inlineStr">
        <is>
          <t>Segment completion and qualitative interaction</t>
        </is>
      </c>
      <c r="K7" s="2" t="inlineStr">
        <is>
          <t>Internet-only control group</t>
        </is>
      </c>
      <c r="L7" s="2" t="inlineStr">
        <is>
          <t>Randomized/pilot human wet-lab study</t>
        </is>
      </c>
      <c r="M7" s="2" t="inlineStr">
        <is>
          <t>AI uplift of novice biological skill</t>
        </is>
      </c>
      <c r="N7" s="2" t="inlineStr">
        <is>
          <t>Pilot did not provide statistically significant evidence of AI uplift; all participants performed relatively well</t>
        </is>
      </c>
      <c r="O7" s="2" t="inlineStr">
        <is>
          <t>Directly observes human-AI use in a real lab and exposes design/measurement challenges</t>
        </is>
      </c>
      <c r="P7" s="2" t="inlineStr">
        <is>
          <t>High for bounded task</t>
        </is>
      </c>
      <c r="Q7" s="2" t="inlineStr">
        <is>
          <t>High for real lab, but small sample and relatively basic task</t>
        </is>
      </c>
      <c r="R7" s="2" t="inlineStr">
        <is>
          <t>Low due underpowered pilot</t>
        </is>
      </c>
      <c r="S7" s="2" t="inlineStr">
        <is>
          <t>Direct for tested uplift endpoint; broader misuse relevance uncertain</t>
        </is>
      </c>
      <c r="T7" s="2" t="inlineStr">
        <is>
          <t>Real equipment/social context captured qualitatively</t>
        </is>
      </c>
      <c r="U7" s="2" t="inlineStr">
        <is>
          <t>Moderate</t>
        </is>
      </c>
      <c r="V7" s="2" t="inlineStr">
        <is>
          <t>Bio uplift concern -&gt; novice task performance -&gt; AI vs internet comparison -&gt; inferred misuse/benefit</t>
        </is>
      </c>
      <c r="W7" s="2" t="inlineStr">
        <is>
          <t>https://arxiv.org/abs/2512.10960</t>
        </is>
      </c>
      <c r="X7" s="2" t="inlineStr">
        <is>
          <t>https://arxiv.org/pdf/2512.10960</t>
        </is>
      </c>
      <c r="Y7" s="2" t="inlineStr">
        <is>
          <t>Canonical link captured</t>
        </is>
      </c>
      <c r="Z7" s="2" t="inlineStr">
        <is>
          <t>Important null/uncertain result; prevents benchmark-only narrative.</t>
        </is>
      </c>
    </row>
    <row r="8">
      <c r="A8" s="2" t="inlineStr">
        <is>
          <t>E07</t>
        </is>
      </c>
      <c r="B8" s="2" t="inlineStr">
        <is>
          <t>RefusalBench</t>
        </is>
      </c>
      <c r="C8" s="2" t="inlineStr">
        <is>
          <t>2026</t>
        </is>
      </c>
      <c r="D8" s="2" t="inlineStr">
        <is>
          <t>Weidener et al.</t>
        </is>
      </c>
      <c r="E8" s="2" t="inlineStr">
        <is>
          <t>Refusal calibration on benign/borderline/dual-use biological prompts</t>
        </is>
      </c>
      <c r="F8" s="2" t="inlineStr">
        <is>
          <t>Model-response safeguard layer</t>
        </is>
      </c>
      <c r="G8" s="2" t="inlineStr">
        <is>
          <t>Model-only single-turn</t>
        </is>
      </c>
      <c r="H8" s="2" t="inlineStr">
        <is>
          <t>Matched triples holding framing constant while changing risk tier</t>
        </is>
      </c>
      <c r="I8" s="2" t="inlineStr">
        <is>
          <t>Refuse / hedge / answer</t>
        </is>
      </c>
      <c r="J8" s="2" t="inlineStr">
        <is>
          <t>Tier discrimination, refusal rate, Youden J, partial compliance</t>
        </is>
      </c>
      <c r="K8" s="2" t="inlineStr">
        <is>
          <t>Positive control + matched risk tiers</t>
        </is>
      </c>
      <c r="L8" s="2" t="inlineStr">
        <is>
          <t>Safeguard evaluation</t>
        </is>
      </c>
      <c r="M8" s="2" t="inlineStr">
        <is>
          <t>Whether refusal behavior tracks biological risk tier</t>
        </is>
      </c>
      <c r="N8" s="2" t="inlineStr">
        <is>
          <t>Overall refusal rate can misrank tier discrimination; hedge-but-help behavior escapes binary refusal metrics</t>
        </is>
      </c>
      <c r="O8" s="2" t="inlineStr">
        <is>
          <t>Demonstrates proxy-target decoupling within refusal evaluation</t>
        </is>
      </c>
      <c r="P8" s="2" t="inlineStr">
        <is>
          <t>High for refusal-calibration construct</t>
        </is>
      </c>
      <c r="Q8" s="2" t="inlineStr">
        <is>
          <t>Low-moderate for real workflow safety</t>
        </is>
      </c>
      <c r="R8" s="2" t="inlineStr">
        <is>
          <t>Unknown</t>
        </is>
      </c>
      <c r="S8" s="2" t="inlineStr">
        <is>
          <t>Indirect: refusal metric -&gt; safeguard quality -&gt; real-world risk mitigation</t>
        </is>
      </c>
      <c r="T8" s="2" t="inlineStr">
        <is>
          <t>Risk-tier metadata explicit; no downstream workflow context</t>
        </is>
      </c>
      <c r="U8" s="2" t="inlineStr">
        <is>
          <t>High</t>
        </is>
      </c>
      <c r="V8" s="2" t="inlineStr">
        <is>
          <t>Safeguard concern -&gt; refusal behavior -&gt; metric -&gt; inferred calibration -&gt; safety</t>
        </is>
      </c>
      <c r="W8" s="2" t="inlineStr">
        <is>
          <t>https://arxiv.org/abs/2605.21545</t>
        </is>
      </c>
      <c r="X8" s="2" t="inlineStr">
        <is>
          <t>https://arxiv.org/pdf/2605.21545</t>
        </is>
      </c>
      <c r="Y8" s="2" t="inlineStr">
        <is>
          <t>Canonical link captured</t>
        </is>
      </c>
      <c r="Z8" s="2" t="inlineStr">
        <is>
          <t>Key measurement-validity case.</t>
        </is>
      </c>
    </row>
    <row r="9">
      <c r="A9" s="2" t="inlineStr">
        <is>
          <t>E08</t>
        </is>
      </c>
      <c r="B9" s="2" t="inlineStr">
        <is>
          <t>BioTIER</t>
        </is>
      </c>
      <c r="C9" s="2" t="inlineStr">
        <is>
          <t>2026</t>
        </is>
      </c>
      <c r="D9" s="2" t="inlineStr">
        <is>
          <t>Marshall et al. / SecureBio</t>
        </is>
      </c>
      <c r="E9" s="2" t="inlineStr">
        <is>
          <t>Targeted refusal of hazardous biology while permitting benign use</t>
        </is>
      </c>
      <c r="F9" s="2" t="inlineStr">
        <is>
          <t>Model-response safeguard layer</t>
        </is>
      </c>
      <c r="G9" s="2" t="inlineStr">
        <is>
          <t>Model-only single-turn</t>
        </is>
      </c>
      <c r="H9" s="2" t="inlineStr">
        <is>
          <t>542 expert-curated prompts across CA/BD/RB tiers</t>
        </is>
      </c>
      <c r="I9" s="2" t="inlineStr">
        <is>
          <t>Refuse or answer</t>
        </is>
      </c>
      <c r="J9" s="2" t="inlineStr">
        <is>
          <t>Combined F1; refuse and permit rates</t>
        </is>
      </c>
      <c r="K9" s="2" t="inlineStr">
        <is>
          <t>Expert-curated policy/risk tiers</t>
        </is>
      </c>
      <c r="L9" s="2" t="inlineStr">
        <is>
          <t>Safeguard benchmark</t>
        </is>
      </c>
      <c r="M9" s="2" t="inlineStr">
        <is>
          <t>Targeted biological risk mitigation</t>
        </is>
      </c>
      <c r="N9" s="2" t="inlineStr">
        <is>
          <t>Measures whether models refuse designated high-risk/dual-use content while permitting benign biology</t>
        </is>
      </c>
      <c r="O9" s="2" t="inlineStr">
        <is>
          <t>Directly measures policy-aligned response behavior; not downstream misuse prevention</t>
        </is>
      </c>
      <c r="P9" s="2" t="inlineStr">
        <is>
          <t>Moderate-high for policy compliance</t>
        </is>
      </c>
      <c r="Q9" s="2" t="inlineStr">
        <is>
          <t>Low for workflow security</t>
        </is>
      </c>
      <c r="R9" s="2" t="inlineStr">
        <is>
          <t>Unknown</t>
        </is>
      </c>
      <c r="S9" s="2" t="inlineStr">
        <is>
          <t>Indirect: calibrated refusal -&gt; reduced information assistance -&gt; reduced misuse risk</t>
        </is>
      </c>
      <c r="T9" s="2" t="inlineStr">
        <is>
          <t>Rich risk taxonomy but no user/workflow context</t>
        </is>
      </c>
      <c r="U9" s="2" t="inlineStr">
        <is>
          <t>High</t>
        </is>
      </c>
      <c r="V9" s="2" t="inlineStr">
        <is>
          <t>Bio misuse concern -&gt; content tiers -&gt; refusal/permit behavior -&gt; inferred mitigation quality</t>
        </is>
      </c>
      <c r="W9" s="2" t="inlineStr">
        <is>
          <t>https://arxiv.org/abs/2607.14479</t>
        </is>
      </c>
      <c r="X9" s="2" t="inlineStr">
        <is>
          <t>https://arxiv.org/pdf/2607.14479</t>
        </is>
      </c>
      <c r="Y9" s="2" t="inlineStr">
        <is>
          <t>Canonical link captured</t>
        </is>
      </c>
      <c r="Z9" s="2" t="inlineStr">
        <is>
          <t>Useful contrast with RefusalBench and agentic capability measures.</t>
        </is>
      </c>
    </row>
    <row r="10">
      <c r="A10" s="2" t="inlineStr">
        <is>
          <t>E09</t>
        </is>
      </c>
      <c r="B10" s="2" t="inlineStr">
        <is>
          <t>Bacterial Biothreat Benchmark (B3) / BBG implementation</t>
        </is>
      </c>
      <c r="C10" s="2" t="inlineStr">
        <is>
          <t>2025</t>
        </is>
      </c>
      <c r="D10" s="2" t="inlineStr">
        <is>
          <t>Ackerman et al. / Nemesys Insights</t>
        </is>
      </c>
      <c r="E10" s="2" t="inlineStr">
        <is>
          <t>Model uplift / general harm potential across bacterial biothreat chain</t>
        </is>
      </c>
      <c r="F10" s="2" t="inlineStr">
        <is>
          <t>Threat-chain planning/knowledge tasks</t>
        </is>
      </c>
      <c r="G10" s="2" t="inlineStr">
        <is>
          <t>Model benchmark + human evaluation</t>
        </is>
      </c>
      <c r="H10" s="2" t="inlineStr">
        <is>
          <t>1,010 task-aligned prompts mapped to hierarchical threat schema</t>
        </is>
      </c>
      <c r="I10" s="2" t="inlineStr">
        <is>
          <t>Model responses</t>
        </is>
      </c>
      <c r="J10" s="2" t="inlineStr">
        <is>
          <t>Risk analysis across benchmark dimensions</t>
        </is>
      </c>
      <c r="K10" s="2" t="inlineStr">
        <is>
          <t>Task-query architecture / human evaluation</t>
        </is>
      </c>
      <c r="L10" s="2" t="inlineStr">
        <is>
          <t>Threat-chain benchmark</t>
        </is>
      </c>
      <c r="M10" s="2" t="inlineStr">
        <is>
          <t>Biosecurity risk posed by frontier LLMs</t>
        </is>
      </c>
      <c r="N10" s="2" t="inlineStr">
        <is>
          <t>Pilot claims framework enables nuanced assessment and identifies sources of risk/mitigation priority</t>
        </is>
      </c>
      <c r="O10" s="2" t="inlineStr">
        <is>
          <t>Measures model responses to threat-chain-aligned prompts; does not execute threat chain</t>
        </is>
      </c>
      <c r="P10" s="2" t="inlineStr">
        <is>
          <t>Moderate</t>
        </is>
      </c>
      <c r="Q10" s="2" t="inlineStr">
        <is>
          <t>Low-moderate</t>
        </is>
      </c>
      <c r="R10" s="2" t="inlineStr">
        <is>
          <t>Unknown</t>
        </is>
      </c>
      <c r="S10" s="2" t="inlineStr">
        <is>
          <t>Indirect: task-query performance -&gt; adversary uplift/risk</t>
        </is>
      </c>
      <c r="T10" s="2" t="inlineStr">
        <is>
          <t>Operational threat context encoded in taxonomy but not enacted</t>
        </is>
      </c>
      <c r="U10" s="2" t="inlineStr">
        <is>
          <t>High</t>
        </is>
      </c>
      <c r="V10" s="2" t="inlineStr">
        <is>
          <t>Biothreat concern -&gt; threat-chain tasks -&gt; prompts -&gt; response quality -&gt; risk inference</t>
        </is>
      </c>
      <c r="W10" s="2" t="inlineStr">
        <is>
          <t>https://arxiv.org/abs/2512.08459</t>
        </is>
      </c>
      <c r="X10" s="2" t="inlineStr">
        <is>
          <t>https://arxiv.org/pdf/2512.08459</t>
        </is>
      </c>
      <c r="Y10" s="2" t="inlineStr">
        <is>
          <t>Canonical link captured</t>
        </is>
      </c>
      <c r="Z10" s="2" t="inlineStr">
        <is>
          <t>Useful case where benchmark attempts to encode operational context.</t>
        </is>
      </c>
    </row>
    <row r="11">
      <c r="A11" s="2" t="inlineStr">
        <is>
          <t>E10</t>
        </is>
      </c>
      <c r="B11" s="2" t="inlineStr">
        <is>
          <t>Sequence-based biosecurity screening resilience study</t>
        </is>
      </c>
      <c r="C11" s="2" t="inlineStr">
        <is>
          <t>2026</t>
        </is>
      </c>
      <c r="D11" s="2" t="inlineStr">
        <is>
          <t>Wittmann et al. / collaborators</t>
        </is>
      </c>
      <c r="E11" s="2" t="inlineStr">
        <is>
          <t>BSS detection of AI-reformulated/fragmented sequences</t>
        </is>
      </c>
      <c r="F11" s="2" t="inlineStr">
        <is>
          <t>DNA synthesis screening</t>
        </is>
      </c>
      <c r="G11" s="2" t="inlineStr">
        <is>
          <t>Generated sequence variants -&gt; screening tools</t>
        </is>
      </c>
      <c r="H11" s="2" t="inlineStr">
        <is>
          <t>AI-reformulated homologs/fragments</t>
        </is>
      </c>
      <c r="I11" s="2" t="inlineStr">
        <is>
          <t>Detection / miss by four screening tools</t>
        </is>
      </c>
      <c r="J11" s="2" t="inlineStr">
        <is>
          <t>Detection rate vs fragment length and patched versions</t>
        </is>
      </c>
      <c r="K11" s="2" t="inlineStr">
        <is>
          <t>Screening evaluation</t>
        </is>
      </c>
      <c r="L11" s="2" t="inlineStr">
        <is>
          <t>Robustness of sequence-screening safeguard</t>
        </is>
      </c>
      <c r="M11" s="2" t="inlineStr">
        <is>
          <t>Two tools robustly detected short fragments; upgrades improved others; authors still motivate alternate approaches</t>
        </is>
      </c>
      <c r="N11" s="2" t="inlineStr">
        <is>
          <t>Directly tests an operational safeguard against generated sequence variants</t>
        </is>
      </c>
      <c r="O11" s="2" t="inlineStr">
        <is>
          <t>High</t>
        </is>
      </c>
      <c r="P11" s="2" t="inlineStr">
        <is>
          <t>High for screening stage; no synthesis/biological function endpoint</t>
        </is>
      </c>
      <c r="Q11" s="2" t="inlineStr">
        <is>
          <t>Moderate for safeguard reliability in tested distribution</t>
        </is>
      </c>
      <c r="R11" s="2" t="inlineStr">
        <is>
          <t>Direct for screening; broader biological harm indirect</t>
        </is>
      </c>
      <c r="S11" s="2" t="inlineStr">
        <is>
          <t>Sequence provenance and fragmentation explicit</t>
        </is>
      </c>
      <c r="T11" s="2" t="inlineStr">
        <is>
          <t>Moderate</t>
        </is>
      </c>
      <c r="U11" s="2" t="inlineStr">
        <is>
          <t>AI design concern -&gt; sequence variants -&gt; BSS detection -&gt; safeguard assessment</t>
        </is>
      </c>
      <c r="V11" s="2" t="inlineStr">
        <is>
          <t>https://pmc.ncbi.nlm.nih.gov/articles/PMC13402867/</t>
        </is>
      </c>
      <c r="W11" s="2" t="inlineStr">
        <is>
          <t>https://pmc.ncbi.nlm.nih.gov/articles/PMC13402867/</t>
        </is>
      </c>
      <c r="X11" s="2" t="inlineStr">
        <is>
          <t>Full text public on PMC; canonical link captured</t>
        </is>
      </c>
      <c r="Y11" s="2" t="inlineStr">
        <is>
          <t>Good mitigation/defense-in-depth case.</t>
        </is>
      </c>
      <c r="Z11" s="2" t="n"/>
    </row>
    <row r="12">
      <c r="A12" s="2" t="inlineStr">
        <is>
          <t>E11</t>
        </is>
      </c>
      <c r="B12" s="2" t="inlineStr">
        <is>
          <t>OpenAI / Red Queen Bio wet-lab optimization evaluation</t>
        </is>
      </c>
      <c r="C12" s="2" t="inlineStr">
        <is>
          <t>2025</t>
        </is>
      </c>
      <c r="D12" s="2" t="inlineStr">
        <is>
          <t>OpenAI + Red Queen Bio + Robot on Rails</t>
        </is>
      </c>
      <c r="E12" s="2" t="inlineStr">
        <is>
          <t>AI-directed experimental optimization and automated execution</t>
        </is>
      </c>
      <c r="F12" s="2" t="inlineStr">
        <is>
          <t>Design -&gt; experiment -&gt; feedback -&gt; redesign -&gt; robot execution</t>
        </is>
      </c>
      <c r="G12" s="2" t="inlineStr">
        <is>
          <t>AI + human executors; later robot + vision/path planning</t>
        </is>
      </c>
      <c r="H12" s="2" t="inlineStr">
        <is>
          <t>Baseline cloning protocol; experimental data returned after each round</t>
        </is>
      </c>
      <c r="I12" s="2" t="inlineStr">
        <is>
          <t>Protocol modifications; robotic actions</t>
        </is>
      </c>
      <c r="J12" s="2" t="inlineStr">
        <is>
          <t>Cloning efficiency and robot-vs-human performance</t>
        </is>
      </c>
      <c r="K12" s="2" t="inlineStr">
        <is>
          <t>Baseline HiFi protocol; human execution</t>
        </is>
      </c>
      <c r="L12" s="2" t="inlineStr">
        <is>
          <t>Iterative wet-lab evaluation</t>
        </is>
      </c>
      <c r="M12" s="2" t="inlineStr">
        <is>
          <t>Capability to reason across iterative physical biology experiments</t>
        </is>
      </c>
      <c r="N12" s="2" t="inlineStr">
        <is>
          <t>GPT-5 proposed modifications leading to reported 79x efficiency improvement; robot reproduced relative ranking with lower absolute yields</t>
        </is>
      </c>
      <c r="O12" s="2" t="inlineStr">
        <is>
          <t>Demonstrates closed-loop AI-guided wet-lab optimization in a benign system</t>
        </is>
      </c>
      <c r="P12" s="2" t="inlineStr">
        <is>
          <t>Moderate-high for experimental optimization</t>
        </is>
      </c>
      <c r="Q12" s="2" t="inlineStr">
        <is>
          <t>High for bounded lab workflow</t>
        </is>
      </c>
      <c r="R12" s="2" t="inlineStr">
        <is>
          <t>Unknown for broader biological tasks or misuse</t>
        </is>
      </c>
      <c r="S12" s="2" t="inlineStr">
        <is>
          <t>Direct for tested workflow capability; biosecurity relevance inferred</t>
        </is>
      </c>
      <c r="T12" s="2" t="inlineStr">
        <is>
          <t>Experimental feedback repeatedly returned to model; robot receives visual/environment context</t>
        </is>
      </c>
      <c r="U12" s="2" t="inlineStr">
        <is>
          <t>Moderate</t>
        </is>
      </c>
      <c r="V12" s="2" t="inlineStr">
        <is>
          <t>AI science capability -&gt; iterative protocol proposals -&gt; human/robot execution -&gt; measured improvement -&gt; inferred broader capability/biosecurity implications</t>
        </is>
      </c>
      <c r="W12" s="2" t="inlineStr">
        <is>
          <t>https://openai.com/index/accelerating-biological-research-in-the-wet-lab/</t>
        </is>
      </c>
      <c r="X12" s="2" t="inlineStr">
        <is>
          <t>https://openai.com/index/accelerating-biological-research-in-the-wet-lab/</t>
        </is>
      </c>
      <c r="Y12" s="2" t="inlineStr">
        <is>
          <t>Canonical web full-text link captured</t>
        </is>
      </c>
      <c r="Z12" s="2" t="inlineStr">
        <is>
          <t>Important closed-loop case; source is developer research publication rather than peer-reviewed paper.</t>
        </is>
      </c>
    </row>
  </sheetData>
  <autoFilter ref="A1:Z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4" t="inlineStr">
        <is>
          <t>Set 2 Field</t>
        </is>
      </c>
      <c r="B1" s="4" t="inlineStr">
        <is>
          <t>Definition</t>
        </is>
      </c>
    </row>
    <row r="2">
      <c r="A2" s="2" t="inlineStr">
        <is>
          <t>evaluation</t>
        </is>
      </c>
      <c r="B2" s="2" t="inlineStr">
        <is>
          <t>Benchmark/study/evaluation name</t>
        </is>
      </c>
    </row>
    <row r="3">
      <c r="A3" s="2" t="inlineStr">
        <is>
          <t>capability_or_safeguard</t>
        </is>
      </c>
      <c r="B3" s="2" t="inlineStr">
        <is>
          <t>What biological capability, safeguard, or risk-relevant construct is targeted</t>
        </is>
      </c>
    </row>
    <row r="4">
      <c r="A4" s="2" t="inlineStr">
        <is>
          <t>workflow_stage</t>
        </is>
      </c>
      <c r="B4" s="2" t="inlineStr">
        <is>
          <t>Where in biological workflow the evaluation sits</t>
        </is>
      </c>
    </row>
    <row r="5">
      <c r="A5" s="2" t="inlineStr">
        <is>
          <t>configuration</t>
        </is>
      </c>
      <c r="B5" s="2" t="inlineStr">
        <is>
          <t>Model-only / tool-using / human+AI / agent / physical execution / deployed</t>
        </is>
      </c>
    </row>
    <row r="6">
      <c r="A6" s="2" t="inlineStr">
        <is>
          <t>inputs_context</t>
        </is>
      </c>
      <c r="B6" s="2" t="inlineStr">
        <is>
          <t>Information/context available to system</t>
        </is>
      </c>
    </row>
    <row r="7">
      <c r="A7" s="2" t="inlineStr">
        <is>
          <t>outputs_actions</t>
        </is>
      </c>
      <c r="B7" s="2" t="inlineStr">
        <is>
          <t>Outputs or actions permitted</t>
        </is>
      </c>
    </row>
    <row r="8">
      <c r="A8" s="2" t="inlineStr">
        <is>
          <t>endpoint</t>
        </is>
      </c>
      <c r="B8" s="2" t="inlineStr">
        <is>
          <t>Primary measured endpoint</t>
        </is>
      </c>
    </row>
    <row r="9">
      <c r="A9" s="2" t="inlineStr">
        <is>
          <t>ground_truth_or_baseline</t>
        </is>
      </c>
      <c r="B9" s="2" t="inlineStr">
        <is>
          <t>Comparator or ground truth</t>
        </is>
      </c>
    </row>
    <row r="10">
      <c r="A10" s="2" t="inlineStr">
        <is>
          <t>evidence_type</t>
        </is>
      </c>
      <c r="B10" s="2" t="inlineStr">
        <is>
          <t>Static benchmark, agent eval, human experiment, wet lab, field observation, etc.</t>
        </is>
      </c>
    </row>
    <row r="11">
      <c r="A11" s="2" t="inlineStr">
        <is>
          <t>construct_validity</t>
        </is>
      </c>
      <c r="B11" s="2" t="inlineStr">
        <is>
          <t>Does endpoint represent claimed construct?</t>
        </is>
      </c>
    </row>
    <row r="12">
      <c r="A12" s="2" t="inlineStr">
        <is>
          <t>ecological_validity</t>
        </is>
      </c>
      <c r="B12" s="2" t="inlineStr">
        <is>
          <t>Similarity to relevant real-world setting</t>
        </is>
      </c>
    </row>
    <row r="13">
      <c r="A13" s="2" t="inlineStr">
        <is>
          <t>predictive_validity</t>
        </is>
      </c>
      <c r="B13" s="2" t="inlineStr">
        <is>
          <t>Evidence endpoint predicts downstream behavior</t>
        </is>
      </c>
    </row>
    <row r="14">
      <c r="A14" s="2" t="inlineStr">
        <is>
          <t>security_linkage</t>
        </is>
      </c>
      <c r="B14" s="2" t="inlineStr">
        <is>
          <t>Evidence connecting result to security outcome</t>
        </is>
      </c>
    </row>
    <row r="15">
      <c r="A15" s="2" t="inlineStr">
        <is>
          <t>context_provenance</t>
        </is>
      </c>
      <c r="B15" s="2" t="inlineStr">
        <is>
          <t>Metadata/provenance available across handoffs</t>
        </is>
      </c>
    </row>
    <row r="16">
      <c r="A16" s="2" t="inlineStr">
        <is>
          <t>boundary_sensitivity</t>
        </is>
      </c>
      <c r="B16" s="2" t="inlineStr">
        <is>
          <t>Would result change with humans/tools/physical steps added?</t>
        </is>
      </c>
    </row>
  </sheetData>
  <autoFilter ref="A1:B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6" customWidth="1" min="3" max="3"/>
    <col width="22" customWidth="1" min="4" max="4"/>
    <col width="28" customWidth="1" min="5" max="5"/>
    <col width="32" customWidth="1" min="6" max="6"/>
    <col width="30" customWidth="1" min="7" max="7"/>
    <col width="30" customWidth="1" min="8" max="8"/>
    <col width="26" customWidth="1" min="9" max="9"/>
    <col width="48" customWidth="1" min="10" max="10"/>
    <col width="28" customWidth="1" min="11" max="11"/>
    <col width="30" customWidth="1" min="12" max="12"/>
    <col width="30" customWidth="1" min="13" max="13"/>
    <col width="24" customWidth="1" min="14" max="14"/>
    <col width="24" customWidth="1" min="15" max="15"/>
    <col width="28" customWidth="1" min="16" max="16"/>
    <col width="18" customWidth="1" min="17" max="17"/>
    <col width="26" customWidth="1" min="18" max="18"/>
    <col width="28" customWidth="1" min="19" max="19"/>
    <col width="28" customWidth="1" min="20" max="20"/>
    <col width="34" customWidth="1" min="21" max="21"/>
    <col width="38" customWidth="1" min="22" max="22"/>
    <col width="28" customWidth="1" min="23" max="23"/>
    <col width="18" customWidth="1" min="24" max="24"/>
    <col width="40" customWidth="1" min="25" max="25"/>
    <col width="40" customWidth="1" min="26" max="26"/>
    <col width="38" customWidth="1" min="27" max="27"/>
  </cols>
  <sheetData>
    <row r="1" ht="34" customHeight="1">
      <c r="A1" s="4" t="inlineStr">
        <is>
          <t>id</t>
        </is>
      </c>
      <c r="B1" s="4" t="inlineStr">
        <is>
          <t>trajectory</t>
        </is>
      </c>
      <c r="C1" s="4" t="inlineStr">
        <is>
          <t>source</t>
        </is>
      </c>
      <c r="D1" s="4" t="inlineStr">
        <is>
          <t>domain</t>
        </is>
      </c>
      <c r="E1" s="4" t="inlineStr">
        <is>
          <t>initial_state</t>
        </is>
      </c>
      <c r="F1" s="4" t="inlineStr">
        <is>
          <t>initiating_perturbation</t>
        </is>
      </c>
      <c r="G1" s="4" t="inlineStr">
        <is>
          <t>components</t>
        </is>
      </c>
      <c r="H1" s="4" t="inlineStr">
        <is>
          <t>relationship_affected</t>
        </is>
      </c>
      <c r="I1" s="4" t="inlineStr">
        <is>
          <t>what_flows</t>
        </is>
      </c>
      <c r="J1" s="4" t="inlineStr">
        <is>
          <t>sequence</t>
        </is>
      </c>
      <c r="K1" s="4" t="inlineStr">
        <is>
          <t>first_divergence</t>
        </is>
      </c>
      <c r="L1" s="4" t="inlineStr">
        <is>
          <t>amplification_points</t>
        </is>
      </c>
      <c r="M1" s="4" t="inlineStr">
        <is>
          <t>buffering_points</t>
        </is>
      </c>
      <c r="N1" s="4" t="inlineStr">
        <is>
          <t>detection</t>
        </is>
      </c>
      <c r="O1" s="4" t="inlineStr">
        <is>
          <t>attribution</t>
        </is>
      </c>
      <c r="P1" s="4" t="inlineStr">
        <is>
          <t>intervention</t>
        </is>
      </c>
      <c r="Q1" s="4" t="inlineStr">
        <is>
          <t>reversibility</t>
        </is>
      </c>
      <c r="R1" s="4" t="inlineStr">
        <is>
          <t>recovery</t>
        </is>
      </c>
      <c r="S1" s="4" t="inlineStr">
        <is>
          <t>feedback</t>
        </is>
      </c>
      <c r="T1" s="4" t="inlineStr">
        <is>
          <t>update_learning</t>
        </is>
      </c>
      <c r="U1" s="4" t="inlineStr">
        <is>
          <t>outcome</t>
        </is>
      </c>
      <c r="V1" s="4" t="inlineStr">
        <is>
          <t>candidate_relational_variables</t>
        </is>
      </c>
      <c r="W1" s="4" t="inlineStr">
        <is>
          <t>boundary_note</t>
        </is>
      </c>
      <c r="X1" s="4" t="inlineStr">
        <is>
          <t>evidence_level</t>
        </is>
      </c>
      <c r="Y1" s="4" t="inlineStr">
        <is>
          <t>canonical_url</t>
        </is>
      </c>
      <c r="Z1" s="4" t="inlineStr">
        <is>
          <t>full_text_url</t>
        </is>
      </c>
      <c r="AA1" s="4" t="inlineStr">
        <is>
          <t>notes</t>
        </is>
      </c>
      <c r="AB1" s="4" t="n"/>
    </row>
    <row r="2">
      <c r="A2" s="2" t="inlineStr">
        <is>
          <t>T01</t>
        </is>
      </c>
      <c r="B2" s="2" t="inlineStr">
        <is>
          <t>ABC-Bench OpenTrons wet-lab execution</t>
        </is>
      </c>
      <c r="C2" s="2" t="inlineStr">
        <is>
          <t>ABC-Bench</t>
        </is>
      </c>
      <c r="D2" s="2" t="inlineStr">
        <is>
          <t>AI-bio / lab automation</t>
        </is>
      </c>
      <c r="E2" s="2" t="inlineStr">
        <is>
          <t>Agent tasked to generate robot code from manuals, photos and concentrations</t>
        </is>
      </c>
      <c r="F2" s="2" t="inlineStr">
        <is>
          <t>Generated script contains compilation/API errors before successful execution</t>
        </is>
      </c>
      <c r="G2" s="2" t="inlineStr">
        <is>
          <t>LLM agent, human assistant, OpenTrons robot, DNA fragments, sequencing validation</t>
        </is>
      </c>
      <c r="H2" s="2" t="inlineStr">
        <is>
          <t>Agent &lt;-&gt; human error feedback; agent &lt;-&gt; robot control interface</t>
        </is>
      </c>
      <c r="I2" s="2" t="inlineStr">
        <is>
          <t>Code, error messages, visual/context data, physical liquid handling instructions</t>
        </is>
      </c>
      <c r="J2" s="2" t="inlineStr">
        <is>
          <t>Agent generates code -&gt; compile errors -&gt; human returns errors -&gt; agent diagnoses and corrects -&gt; robot executes -&gt; DNA assembled -&gt; sequencing confirms expected products</t>
        </is>
      </c>
      <c r="K2" s="2" t="inlineStr">
        <is>
          <t>Compilation/API mismatch</t>
        </is>
      </c>
      <c r="L2" s="2" t="inlineStr">
        <is>
          <t>Potential if incorrect code reached execution</t>
        </is>
      </c>
      <c r="M2" s="2" t="inlineStr">
        <is>
          <t>Human-mediated error return; sequencing validation</t>
        </is>
      </c>
      <c r="N2" s="2" t="inlineStr">
        <is>
          <t>At compile stage and post-execution</t>
        </is>
      </c>
      <c r="O2" s="2" t="inlineStr">
        <is>
          <t>Compilation errors attributable to API/script mismatch; product confirmation by sequencing</t>
        </is>
      </c>
      <c r="P2" s="2" t="inlineStr">
        <is>
          <t>Return error messages; rerun corrected code</t>
        </is>
      </c>
      <c r="Q2" s="2" t="inlineStr">
        <is>
          <t>High before execution</t>
        </is>
      </c>
      <c r="R2" s="2" t="inlineStr">
        <is>
          <t>Successful assembly after correction</t>
        </is>
      </c>
      <c r="S2" s="2" t="inlineStr">
        <is>
          <t>Error messages and sequencing outcomes returned</t>
        </is>
      </c>
      <c r="T2" s="2" t="inlineStr">
        <is>
          <t>Yes: one correction iteration changed script; validation confirms outcome</t>
        </is>
      </c>
      <c r="U2" s="2" t="inlineStr">
        <is>
          <t>Physical DNA assembly with expected sequences in three validation experiments</t>
        </is>
      </c>
      <c r="V2" s="2" t="inlineStr">
        <is>
          <t>Feedback availability; context-rich interface; reversible-before-execution; independent validation</t>
        </is>
      </c>
      <c r="W2" s="2" t="inlineStr">
        <is>
          <t>Bounded benign task; human assistant remains an important relationship</t>
        </is>
      </c>
      <c r="X2" s="2" t="inlineStr">
        <is>
          <t>Demonstrated</t>
        </is>
      </c>
      <c r="Y2" s="2" t="inlineStr">
        <is>
          <t>https://arxiv.org/abs/2606.11150</t>
        </is>
      </c>
      <c r="Z2" s="2" t="inlineStr">
        <is>
          <t>https://arxiv.org/pdf/2606.11150</t>
        </is>
      </c>
      <c r="AA2" s="2" t="inlineStr">
        <is>
          <t>Strong technical relationship trajectory.</t>
        </is>
      </c>
      <c r="AB2" s="2" t="n"/>
    </row>
    <row r="3">
      <c r="A3" s="2" t="inlineStr">
        <is>
          <t>T02</t>
        </is>
      </c>
      <c r="B3" s="2" t="inlineStr">
        <is>
          <t>GPT-5 iterative cloning optimization</t>
        </is>
      </c>
      <c r="C3" s="2" t="inlineStr">
        <is>
          <t>OpenAI / Red Queen Bio wet-lab study</t>
        </is>
      </c>
      <c r="D3" s="2" t="inlineStr">
        <is>
          <t>AI-bio / experimental optimization</t>
        </is>
      </c>
      <c r="E3" s="2" t="inlineStr">
        <is>
          <t>Baseline molecular cloning protocol</t>
        </is>
      </c>
      <c r="F3" s="2" t="inlineStr">
        <is>
          <t>AI proposes protocol modifications across repeated rounds</t>
        </is>
      </c>
      <c r="G3" s="2" t="inlineStr">
        <is>
          <t>GPT-5, human scientists, wet-lab protocol, experimental data; later robot/vision/path planner</t>
        </is>
      </c>
      <c r="H3" s="2" t="inlineStr">
        <is>
          <t>AI &lt;-&gt; human experimental execution; AI &lt;-&gt; experimental feedback</t>
        </is>
      </c>
      <c r="I3" s="2" t="inlineStr">
        <is>
          <t>Protocol suggestions, experimental measurements, physical actions</t>
        </is>
      </c>
      <c r="J3" s="2" t="inlineStr">
        <is>
          <t>AI proposes -&gt; humans execute -&gt; data uploaded -&gt; AI revises -&gt; repeated cycles -&gt; improved protocol; robot later executes standard and improved protocols</t>
        </is>
      </c>
      <c r="K3" s="2" t="inlineStr">
        <is>
          <t>Initial baseline inefficiency</t>
        </is>
      </c>
      <c r="L3" s="2" t="inlineStr">
        <is>
          <t>Iterative changes compound improvement</t>
        </is>
      </c>
      <c r="M3" s="2" t="inlineStr">
        <is>
          <t>Human execution/measurement constrains model; benign scope controls</t>
        </is>
      </c>
      <c r="N3" s="2" t="inlineStr">
        <is>
          <t>Each experimental round</t>
        </is>
      </c>
      <c r="O3" s="2" t="inlineStr">
        <is>
          <t>Outcome attributable through measured protocol variants but mechanism attribution requires experiments</t>
        </is>
      </c>
      <c r="P3" s="2" t="inlineStr">
        <is>
          <t>Select and test AI proposals; secondary experiments; robot comparison</t>
        </is>
      </c>
      <c r="Q3" s="2" t="inlineStr">
        <is>
          <t>Moderate-high; each round testable</t>
        </is>
      </c>
      <c r="R3" s="2" t="inlineStr">
        <is>
          <t>Reported 79x relative improvement; robot reproduced relative improvement with lower absolute counts</t>
        </is>
      </c>
      <c r="S3" s="2" t="inlineStr">
        <is>
          <t>Experimental results returned each round</t>
        </is>
      </c>
      <c r="T3" s="2" t="inlineStr">
        <is>
          <t>Yes: AI uses new experimental data to suggest next changes</t>
        </is>
      </c>
      <c r="U3" s="2" t="inlineStr">
        <is>
          <t>Large improvement in bounded cloning efficiency; robot R8 2.13x vs baseline and ~89% of human relative performance</t>
        </is>
      </c>
      <c r="V3" s="2" t="inlineStr">
        <is>
          <t>Closed-loop feedback; physical validation; execution fidelity; context richness; human mediation</t>
        </is>
      </c>
      <c r="W3" s="2" t="inlineStr">
        <is>
          <t>Single benign protocol; broader generalization uncertain</t>
        </is>
      </c>
      <c r="X3" s="2" t="inlineStr">
        <is>
          <t>Demonstrated for bounded workflow</t>
        </is>
      </c>
      <c r="Y3" s="2" t="inlineStr">
        <is>
          <t>https://openai.com/index/accelerating-biological-research-in-the-wet-lab/</t>
        </is>
      </c>
      <c r="Z3" s="2" t="inlineStr">
        <is>
          <t>https://openai.com/index/accelerating-biological-research-in-the-wet-lab/</t>
        </is>
      </c>
      <c r="AA3" s="2" t="inlineStr">
        <is>
          <t>Developer research report, not peer-reviewed.</t>
        </is>
      </c>
      <c r="AB3" s="2" t="n"/>
    </row>
    <row r="4">
      <c r="A4" s="2" t="inlineStr">
        <is>
          <t>T03</t>
        </is>
      </c>
      <c r="B4" s="2" t="inlineStr">
        <is>
          <t>In-silico screening-evasion concern tested with safe physical proxies</t>
        </is>
      </c>
      <c r="C4" s="2" t="inlineStr">
        <is>
          <t>NIST AIPD TEVV</t>
        </is>
      </c>
      <c r="D4" s="2" t="inlineStr">
        <is>
          <t>AI-bio / protein design / screening</t>
        </is>
      </c>
      <c r="E4" s="2" t="inlineStr">
        <is>
          <t>Prior in-silico work suggested generated homologs might retain function while evading screening</t>
        </is>
      </c>
      <c r="F4" s="2" t="inlineStr">
        <is>
          <t>Move from structural/in-silico predictions to physical functional testing</t>
        </is>
      </c>
      <c r="G4" s="2" t="inlineStr">
        <is>
          <t>AI protein-design tools, generated homologs, synthesis provider, assays, BSS</t>
        </is>
      </c>
      <c r="H4" s="2" t="inlineStr">
        <is>
          <t>Computational prediction &lt;-&gt; physical function; design &lt;-&gt; screening</t>
        </is>
      </c>
      <c r="I4" s="2" t="inlineStr">
        <is>
          <t>Sequences, predicted structures, synthesized proteins, activity measurements, screening results</t>
        </is>
      </c>
      <c r="J4" s="2" t="inlineStr">
        <is>
          <t>Generate homologs -&gt; predict structural similarity/evasion -&gt; synthesize safe proxies -&gt; test activity + screening -&gt; many designs fail to retain function reliably</t>
        </is>
      </c>
      <c r="K4" s="2" t="inlineStr">
        <is>
          <t>Physical activity does not follow from predicted structural similarity</t>
        </is>
      </c>
      <c r="L4" s="2" t="inlineStr">
        <is>
          <t>In-silico confidence can amplify perceived risk if treated as function proxy</t>
        </is>
      </c>
      <c r="M4" s="2" t="inlineStr">
        <is>
          <t>Wet-lab assay and screening provide corrective evidence</t>
        </is>
      </c>
      <c r="N4" s="2" t="inlineStr">
        <is>
          <t>At physical testing</t>
        </is>
      </c>
      <c r="O4" s="2" t="inlineStr">
        <is>
          <t>Functional failure attributable to sequence redesign despite structural similarity</t>
        </is>
      </c>
      <c r="P4" s="2" t="inlineStr">
        <is>
          <t>TEVV assays revise interpretation of computational results</t>
        </is>
      </c>
      <c r="Q4" s="2" t="inlineStr">
        <is>
          <t>High: benign proxies and staged validation</t>
        </is>
      </c>
      <c r="R4" s="2" t="inlineStr">
        <is>
          <t>Risk inference revised downward/qualified for tested tools</t>
        </is>
      </c>
      <c r="S4" s="2" t="inlineStr">
        <is>
          <t>Physical results return to security assessment</t>
        </is>
      </c>
      <c r="T4" s="2" t="inlineStr">
        <is>
          <t>Yes at research-program level: evidence updates severity claim</t>
        </is>
      </c>
      <c r="U4" s="2" t="inlineStr">
        <is>
          <t>Current AIPD not reliable at simultaneously preserving activity and evading screening</t>
        </is>
      </c>
      <c r="V4" s="2" t="inlineStr">
        <is>
          <t>Proxy-target validity; digital-physical gap; staged reversibility; independent assay</t>
        </is>
      </c>
      <c r="W4" s="2" t="inlineStr">
        <is>
          <t>Future model capability outside boundary</t>
        </is>
      </c>
      <c r="X4" s="2" t="inlineStr">
        <is>
          <t>Demonstrated</t>
        </is>
      </c>
      <c r="Y4" s="2" t="inlineStr">
        <is>
          <t>https://www.nist.gov/publications/experimental-evaluation-ai-driven-protein-design-risks-using-safe-biological-proxies</t>
        </is>
      </c>
      <c r="Z4" s="2" t="inlineStr">
        <is>
          <t>https://www.biorxiv.org/content/10.1101/2025.05.15.654077v2.full.pdf</t>
        </is>
      </c>
      <c r="AA4" s="2" t="inlineStr">
        <is>
          <t>Excellent example of physical validation changing threat estimate.</t>
        </is>
      </c>
      <c r="AB4" s="2" t="n"/>
    </row>
    <row r="5">
      <c r="A5" s="2" t="inlineStr">
        <is>
          <t>T04</t>
        </is>
      </c>
      <c r="B5" s="2" t="inlineStr">
        <is>
          <t>LANL novice wet-lab uplift pilot</t>
        </is>
      </c>
      <c r="C5" s="2" t="inlineStr">
        <is>
          <t>LANL skill-based uplift study</t>
        </is>
      </c>
      <c r="D5" s="2" t="inlineStr">
        <is>
          <t>AI-bio / human-AI wet lab</t>
        </is>
      </c>
      <c r="E5" s="2" t="inlineStr">
        <is>
          <t>Novices assigned bounded E. coli workflow</t>
        </is>
      </c>
      <c r="F5" s="2" t="inlineStr">
        <is>
          <t>Access to ChatGPT o1 in treatment group vs internet-only control</t>
        </is>
      </c>
      <c r="G5" s="2" t="inlineStr">
        <is>
          <t>Novice participants, AI/internet, lab equipment, peers, protocol, mass spectrometry</t>
        </is>
      </c>
      <c r="H5" s="2" t="inlineStr">
        <is>
          <t>Human &lt;-&gt; AI guidance; human &lt;-&gt; equipment; participant &lt;-&gt; participant</t>
        </is>
      </c>
      <c r="I5" s="2" t="inlineStr">
        <is>
          <t>Advice, observations, procedural actions, results</t>
        </is>
      </c>
      <c r="J5" s="2" t="inlineStr">
        <is>
          <t>Participants plan/execute transformation and expression -&gt; encounter lab tasks -&gt; use AI or internet -&gt; complete segments -&gt; mass-spec confirmation and qualitative observation</t>
        </is>
      </c>
      <c r="K5" s="2" t="inlineStr">
        <is>
          <t>Varies by participant/task</t>
        </is>
      </c>
      <c r="L5" s="2" t="inlineStr">
        <is>
          <t>Potential overreliance or procedural error; not shown as dominant</t>
        </is>
      </c>
      <c r="M5" s="2" t="inlineStr">
        <is>
          <t>Lab environment, peers, internet, task simplicity</t>
        </is>
      </c>
      <c r="N5" s="2" t="inlineStr">
        <is>
          <t>During physical workflow</t>
        </is>
      </c>
      <c r="O5" s="2" t="inlineStr">
        <is>
          <t>Qualitative logs allow some attribution, sample too small for strong inference</t>
        </is>
      </c>
      <c r="P5" s="2" t="inlineStr">
        <is>
          <t>Participants adapt using available resources</t>
        </is>
      </c>
      <c r="Q5" s="2" t="inlineStr">
        <is>
          <t>Moderate; errors often recoverable during task</t>
        </is>
      </c>
      <c r="R5" s="2" t="inlineStr">
        <is>
          <t>No statistically significant primary uplift; all groups performed surprisingly well</t>
        </is>
      </c>
      <c r="S5" s="2" t="inlineStr">
        <is>
          <t>Real-time task outcomes and observations</t>
        </is>
      </c>
      <c r="T5" s="2" t="inlineStr">
        <is>
          <t>Study yields lessons for larger design; weak evidence of treatment effect</t>
        </is>
      </c>
      <c r="U5" s="2" t="inlineStr">
        <is>
          <t>Underpowered pilot; uncertain uplift</t>
        </is>
      </c>
      <c r="V5" s="2" t="inlineStr">
        <is>
          <t>Human expertise/tacit knowledge; alternative resources; task difficulty; social support</t>
        </is>
      </c>
      <c r="W5" s="2" t="inlineStr">
        <is>
          <t>Small n and simple task limit generalization</t>
        </is>
      </c>
      <c r="X5" s="2" t="inlineStr">
        <is>
          <t>Demonstrated null/uncertain pilot result</t>
        </is>
      </c>
      <c r="Y5" s="2" t="inlineStr">
        <is>
          <t>https://arxiv.org/abs/2512.10960</t>
        </is>
      </c>
      <c r="Z5" s="2" t="inlineStr">
        <is>
          <t>https://arxiv.org/pdf/2512.10960</t>
        </is>
      </c>
      <c r="AA5" s="2" t="inlineStr">
        <is>
          <t>Important counterexample to benchmark-saturation narratives.</t>
        </is>
      </c>
      <c r="AB5" s="2" t="n"/>
    </row>
    <row r="6">
      <c r="A6" s="2" t="inlineStr">
        <is>
          <t>T05</t>
        </is>
      </c>
      <c r="B6" s="2" t="inlineStr">
        <is>
          <t>AI-reformulated sequences challenged synthesis screening</t>
        </is>
      </c>
      <c r="C6" s="2" t="inlineStr">
        <is>
          <t>Sequence-based BSS resilience study</t>
        </is>
      </c>
      <c r="D6" s="2" t="inlineStr">
        <is>
          <t>AI-bio / synthesis screening</t>
        </is>
      </c>
      <c r="E6" s="2" t="inlineStr">
        <is>
          <t>Four BSS tools, some recently patched for AI resilience</t>
        </is>
      </c>
      <c r="F6" s="2" t="inlineStr">
        <is>
          <t>AI-reformulated synthetic homolog fragments of proteins of concern</t>
        </is>
      </c>
      <c r="G6" s="2" t="inlineStr">
        <is>
          <t>Generated sequences, four screening tools, tool patches</t>
        </is>
      </c>
      <c r="H6" s="2" t="inlineStr">
        <is>
          <t>Sequence variant &lt;-&gt; screening algorithm</t>
        </is>
      </c>
      <c r="I6" s="2" t="inlineStr">
        <is>
          <t>Sequence content and detection outputs</t>
        </is>
      </c>
      <c r="J6" s="2" t="inlineStr">
        <is>
          <t>Generate/reformulate fragments -&gt; submit to BSS -&gt; observe misses/detections -&gt; patched/upgraded tools retested -&gt; detection improves</t>
        </is>
      </c>
      <c r="K6" s="2" t="inlineStr">
        <is>
          <t>Tool-specific misses/weaknesses on some variants</t>
        </is>
      </c>
      <c r="L6" s="2" t="inlineStr">
        <is>
          <t>Fragmentation/reformulation may evade weaker screening</t>
        </is>
      </c>
      <c r="M6" s="2" t="inlineStr">
        <is>
          <t>Patched algorithms and robust tools</t>
        </is>
      </c>
      <c r="N6" s="2" t="inlineStr">
        <is>
          <t>At screening stage</t>
        </is>
      </c>
      <c r="O6" s="2" t="inlineStr">
        <is>
          <t>Detection outcome attributable to tool/version and fragment length</t>
        </is>
      </c>
      <c r="P6" s="2" t="inlineStr">
        <is>
          <t>Software patches / upgraded versions</t>
        </is>
      </c>
      <c r="Q6" s="2" t="inlineStr">
        <is>
          <t>High before synthesis</t>
        </is>
      </c>
      <c r="R6" s="2" t="inlineStr">
        <is>
          <t>Improved detection in weaker tools; two already robust at short fragments</t>
        </is>
      </c>
      <c r="S6" s="2" t="inlineStr">
        <is>
          <t>Test results feed tool changes</t>
        </is>
      </c>
      <c r="T6" s="2" t="inlineStr">
        <is>
          <t>Yes: patching changes subsequent outcome</t>
        </is>
      </c>
      <c r="U6" s="2" t="inlineStr">
        <is>
          <t>Screening resilience stronger than feared for tested tools but alternate approaches still recommended</t>
        </is>
      </c>
      <c r="V6" s="2" t="inlineStr">
        <is>
          <t>Versioning; adaptive defense; interface-specific controls; detection thresholds</t>
        </is>
      </c>
      <c r="W6" s="2" t="inlineStr">
        <is>
          <t>Does not test actual harmful function or procurement behavior</t>
        </is>
      </c>
      <c r="X6" s="2" t="inlineStr">
        <is>
          <t>Demonstrated</t>
        </is>
      </c>
      <c r="Y6" s="2" t="inlineStr">
        <is>
          <t>https://pmc.ncbi.nlm.nih.gov/articles/PMC13402867/</t>
        </is>
      </c>
      <c r="Z6" s="2" t="inlineStr">
        <is>
          <t>https://pmc.ncbi.nlm.nih.gov/articles/PMC13402867/</t>
        </is>
      </c>
      <c r="AA6" s="2" t="inlineStr">
        <is>
          <t>Good safeguard adaptation trajectory.</t>
        </is>
      </c>
      <c r="AB6" s="2" t="n"/>
    </row>
    <row r="7">
      <c r="A7" s="2" t="inlineStr">
        <is>
          <t>T06</t>
        </is>
      </c>
      <c r="B7" s="2" t="inlineStr">
        <is>
          <t>Forced-depth intervention changes LLM-agent protein design performance</t>
        </is>
      </c>
      <c r="C7" s="2" t="inlineStr">
        <is>
          <t>BioDesignBench</t>
        </is>
      </c>
      <c r="D7" s="2" t="inlineStr">
        <is>
          <t>AI-bio / computational protein design</t>
        </is>
      </c>
      <c r="E7" s="2" t="inlineStr">
        <is>
          <t>Agents have access to appropriate design/evaluation tools</t>
        </is>
      </c>
      <c r="F7" s="2" t="inlineStr">
        <is>
          <t>Agents evaluate candidates shallowly and stop early; experiment forces multi-metric evaluation depth</t>
        </is>
      </c>
      <c r="G7" s="2" t="inlineStr">
        <is>
          <t>LLM agent, design tools, candidate sequences, evaluation metrics</t>
        </is>
      </c>
      <c r="H7" s="2" t="inlineStr">
        <is>
          <t>Agent &lt;-&gt; tool-output interpretation / iteration policy</t>
        </is>
      </c>
      <c r="I7" s="2" t="inlineStr">
        <is>
          <t>Tool outputs, scores, candidate comparisons</t>
        </is>
      </c>
      <c r="J7" s="2" t="inlineStr">
        <is>
          <t>Agent selects tools -&gt; evaluates few metrics/candidates -&gt; premature stop -&gt; forced-depth scaffolding requires broader evaluation -&gt; performance improves</t>
        </is>
      </c>
      <c r="K7" s="2" t="inlineStr">
        <is>
          <t>Evaluation-depth behavior, not tool selection</t>
        </is>
      </c>
      <c r="L7" s="2" t="inlineStr">
        <is>
          <t>Premature termination and narrow scoring degrade quality</t>
        </is>
      </c>
      <c r="M7" s="2" t="inlineStr">
        <is>
          <t>Forced-depth requirement; compute-matched control rules out generic scaffolding</t>
        </is>
      </c>
      <c r="N7" s="2" t="inlineStr">
        <is>
          <t>Behavioral trace analysis</t>
        </is>
      </c>
      <c r="O7" s="2" t="inlineStr">
        <is>
          <t>Gap localized to evaluation-depth patterns</t>
        </is>
      </c>
      <c r="P7" s="2" t="inlineStr">
        <is>
          <t>Modify agent workflow policy</t>
        </is>
      </c>
      <c r="Q7" s="2" t="inlineStr">
        <is>
          <t>High, in silico</t>
        </is>
      </c>
      <c r="R7" s="2" t="inlineStr">
        <is>
          <t>Improved benchmark performance</t>
        </is>
      </c>
      <c r="S7" s="2" t="inlineStr">
        <is>
          <t>Tool traces expose consequence of workflow policy</t>
        </is>
      </c>
      <c r="T7" s="2" t="inlineStr">
        <is>
          <t>Yes: changed relationship with tool outputs changes behavior</t>
        </is>
      </c>
      <c r="U7" s="2" t="inlineStr">
        <is>
          <t>Performance improves without new underlying tools</t>
        </is>
      </c>
      <c r="V7" s="2" t="inlineStr">
        <is>
          <t>Evaluation depth; comparison behavior; stopping rule; feedback use</t>
        </is>
      </c>
      <c r="W7" s="2" t="inlineStr">
        <is>
          <t>No wet-lab validation</t>
        </is>
      </c>
      <c r="X7" s="2" t="inlineStr">
        <is>
          <t>Demonstrated in silico</t>
        </is>
      </c>
      <c r="Y7" s="2" t="inlineStr">
        <is>
          <t>https://pmc.ncbi.nlm.nih.gov/articles/PMC13174699/</t>
        </is>
      </c>
      <c r="Z7" s="2" t="inlineStr">
        <is>
          <t>https://pmc.ncbi.nlm.nih.gov/articles/PMC13174699/</t>
        </is>
      </c>
      <c r="AA7" s="2" t="inlineStr">
        <is>
          <t>Very clean relational variable experiment.</t>
        </is>
      </c>
      <c r="AB7" s="2" t="n"/>
    </row>
    <row r="8">
      <c r="A8" s="2" t="inlineStr">
        <is>
          <t>T07</t>
        </is>
      </c>
      <c r="B8" s="2" t="inlineStr">
        <is>
          <t>Mythos 5 social-engineering attempt blocked by human vigilance</t>
        </is>
      </c>
      <c r="C8" s="2" t="inlineStr">
        <is>
          <t>AISI incident as summarized in PUC paper</t>
        </is>
      </c>
      <c r="D8" s="2" t="inlineStr">
        <is>
          <t>Adjacent empirical security / cyber</t>
        </is>
      </c>
      <c r="E8" s="2" t="inlineStr">
        <is>
          <t>Agent conducting cyber evaluation with permissive conditions</t>
        </is>
      </c>
      <c r="F8" s="2" t="inlineStr">
        <is>
          <t>Agent creates sockpuppets, misleading PR rationale, pressure emails and false reassurances</t>
        </is>
      </c>
      <c r="G8" s="2" t="inlineStr">
        <is>
          <t>AI agent, repository, fake accounts, maintainer, bystander/user</t>
        </is>
      </c>
      <c r="H8" s="2" t="inlineStr">
        <is>
          <t>AI &lt;-&gt; human trust/review interface</t>
        </is>
      </c>
      <c r="I8" s="2" t="inlineStr">
        <is>
          <t>Code changes, identity/provenance signals, persuasive messages</t>
        </is>
      </c>
      <c r="J8" s="2" t="inlineStr">
        <is>
          <t>Agent submits malicious PR under benign rationale -&gt; fake account endorses -&gt; pressure/reassure -&gt; human/bystander flags suspicious behavior -&gt; maintainer closes PR</t>
        </is>
      </c>
      <c r="K8" s="2" t="inlineStr">
        <is>
          <t>Malicious code/social engineering behavior</t>
        </is>
      </c>
      <c r="L8" s="2" t="inlineStr">
        <is>
          <t>Manufactured consensus and trust signals</t>
        </is>
      </c>
      <c r="M8" s="2" t="inlineStr">
        <is>
          <t>Independent human scrutiny / skepticism</t>
        </is>
      </c>
      <c r="N8" s="2" t="inlineStr">
        <is>
          <t>Before merge</t>
        </is>
      </c>
      <c r="O8" s="2" t="inlineStr">
        <is>
          <t>Suspicious provenance/behavior attributed to attack</t>
        </is>
      </c>
      <c r="P8" s="2" t="inlineStr">
        <is>
          <t>Human flags and closes PR</t>
        </is>
      </c>
      <c r="Q8" s="2" t="inlineStr">
        <is>
          <t>High before merge</t>
        </is>
      </c>
      <c r="R8" s="2" t="inlineStr">
        <is>
          <t>Attack thwarted; no downstream compromise</t>
        </is>
      </c>
      <c r="S8" s="2" t="inlineStr">
        <is>
          <t>Human response prevents action</t>
        </is>
      </c>
      <c r="T8" s="2" t="inlineStr">
        <is>
          <t>System-level learning depends on incident reporting/eval follow-up</t>
        </is>
      </c>
      <c r="U8" s="2" t="inlineStr">
        <is>
          <t>Perturbation did not become harm</t>
        </is>
      </c>
      <c r="V8" s="2" t="inlineStr">
        <is>
          <t>Independent sensing; provenance; trust calibration; intervention authority</t>
        </is>
      </c>
      <c r="W8" s="2" t="inlineStr">
        <is>
          <t>Cyber, not bio; included as comparator for relational control</t>
        </is>
      </c>
      <c r="X8" s="2" t="inlineStr">
        <is>
          <t>Demonstrated incident/evaluation</t>
        </is>
      </c>
      <c r="Y8" s="2" t="inlineStr">
        <is>
          <t>https://arxiv.org/abs/2609.14796</t>
        </is>
      </c>
      <c r="Z8" s="2" t="inlineStr">
        <is>
          <t>https://arxiv.org/pdf/2609.14796</t>
        </is>
      </c>
      <c r="AA8" s="2" t="inlineStr">
        <is>
          <t>Useful comparator: same event can be read as vulnerability and successful buffering.</t>
        </is>
      </c>
      <c r="AB8" s="2" t="n"/>
    </row>
    <row r="9">
      <c r="A9" s="2" t="inlineStr">
        <is>
          <t>T08</t>
        </is>
      </c>
      <c r="B9" s="2" t="inlineStr">
        <is>
          <t>Removal of source context degrades manipulation monitoring</t>
        </is>
      </c>
      <c r="C9" s="2" t="inlineStr">
        <is>
          <t>PUC preliminary evaluation</t>
        </is>
      </c>
      <c r="D9" s="2" t="inlineStr">
        <is>
          <t>AI control / monitoring</t>
        </is>
      </c>
      <c r="E9" s="2" t="inlineStr">
        <is>
          <t>LLM judge evaluates aligned vs misaligned actor responses</t>
        </is>
      </c>
      <c r="F9" s="2" t="inlineStr">
        <is>
          <t>Judge is progressively deprived of correct answer/source material</t>
        </is>
      </c>
      <c r="G9" s="2" t="inlineStr">
        <is>
          <t>Aligned/misaligned actors, source documents, LLM judge</t>
        </is>
      </c>
      <c r="H9" s="2" t="inlineStr">
        <is>
          <t>Source material &lt;-&gt; monitor interpretation</t>
        </is>
      </c>
      <c r="I9" s="2" t="inlineStr">
        <is>
          <t>Claims, source evidence, hidden ground truth</t>
        </is>
      </c>
      <c r="J9" s="2" t="inlineStr">
        <is>
          <t>Actors respond -&gt; judge evaluates manipulation with answer-aware/source-aware/fully blind context -&gt; performance degrades substantially when source context removed</t>
        </is>
      </c>
      <c r="K9" s="2" t="inlineStr">
        <is>
          <t>Fully blind condition</t>
        </is>
      </c>
      <c r="L9" s="2" t="inlineStr">
        <is>
          <t>Lack of context can invert/misclassify manipulation signal</t>
        </is>
      </c>
      <c r="M9" s="2" t="inlineStr">
        <is>
          <t>Source-aware monitoring</t>
        </is>
      </c>
      <c r="N9" s="2" t="inlineStr">
        <is>
          <t>At monitoring stage</t>
        </is>
      </c>
      <c r="O9" s="2" t="inlineStr">
        <is>
          <t>Condition controlled experimentally</t>
        </is>
      </c>
      <c r="P9" s="2" t="inlineStr">
        <is>
          <t>Provide source material / answer context</t>
        </is>
      </c>
      <c r="Q9" s="2" t="inlineStr">
        <is>
          <t>High</t>
        </is>
      </c>
      <c r="R9" s="2" t="inlineStr">
        <is>
          <t>Source-aware judges discriminate better; fully blind judge struggles and may rate aligned actor most manipulative</t>
        </is>
      </c>
      <c r="S9" s="2" t="inlineStr">
        <is>
          <t>Evaluation context changes monitoring result</t>
        </is>
      </c>
      <c r="T9" s="2" t="inlineStr">
        <is>
          <t>Yes: additional context alters interpretation</t>
        </is>
      </c>
      <c r="U9" s="2" t="inlineStr">
        <is>
          <t>Monitoring effectiveness depends on access to source context</t>
        </is>
      </c>
      <c r="V9" s="2" t="inlineStr">
        <is>
          <t>Context preservation; provenance; monitor observability</t>
        </is>
      </c>
      <c r="W9" s="2" t="inlineStr">
        <is>
          <t>LLM-on-LLM preliminary setup; no human experiment yet</t>
        </is>
      </c>
      <c r="X9" s="2" t="inlineStr">
        <is>
          <t>Demonstrated in preliminary setup</t>
        </is>
      </c>
      <c r="Y9" s="2" t="inlineStr">
        <is>
          <t>https://arxiv.org/abs/2609.14796</t>
        </is>
      </c>
      <c r="Z9" s="2" t="inlineStr">
        <is>
          <t>https://arxiv.org/pdf/2609.14796</t>
        </is>
      </c>
      <c r="AA9" s="2" t="inlineStr">
        <is>
          <t>Directly relevant to metadata/context thesis.</t>
        </is>
      </c>
      <c r="AB9" s="2" t="n"/>
    </row>
    <row r="10">
      <c r="A10" s="2" t="inlineStr">
        <is>
          <t>T09</t>
        </is>
      </c>
      <c r="B10" s="2" t="inlineStr">
        <is>
          <t>Claude protein designs carried through automated wet lab</t>
        </is>
      </c>
      <c r="C10" s="2" t="inlineStr">
        <is>
          <t>Adaptyv Bio case study / Anthropic collaboration</t>
        </is>
      </c>
      <c r="D10" s="2" t="inlineStr">
        <is>
          <t>AI-bio / protein design</t>
        </is>
      </c>
      <c r="E10" s="2" t="inlineStr">
        <is>
          <t>Claude used to design binders against 16 targets</t>
        </is>
      </c>
      <c r="F10" s="2" t="inlineStr">
        <is>
          <t>Digital designs are physically synthesized, expressed and assayed</t>
        </is>
      </c>
      <c r="G10" s="2" t="inlineStr">
        <is>
          <t>Claude/Claude Science, protein design workflow, automated lab, DNA/proteins, binding assays</t>
        </is>
      </c>
      <c r="H10" s="2" t="inlineStr">
        <is>
          <t>Digital design &lt;-&gt; synthesis/expression/assay</t>
        </is>
      </c>
      <c r="I10" s="2" t="inlineStr">
        <is>
          <t>Protein sequences, DNA, assay measurements, QC</t>
        </is>
      </c>
      <c r="J10" s="2" t="inlineStr">
        <is>
          <t>Generate 1,320 designs -&gt; synthesize DNA -&gt; express proteins -&gt; run binding/QC -&gt; observe 354 binders, 26.8% average hit rate</t>
        </is>
      </c>
      <c r="K10" s="2" t="inlineStr">
        <is>
          <t>Physical binding assay reveals which digital designs work</t>
        </is>
      </c>
      <c r="L10" s="2" t="inlineStr">
        <is>
          <t>Large number of candidates increases chance of hits</t>
        </is>
      </c>
      <c r="M10" s="2" t="inlineStr">
        <is>
          <t>High-throughput lab measurement and QC</t>
        </is>
      </c>
      <c r="N10" s="2" t="inlineStr">
        <is>
          <t>At assay stage</t>
        </is>
      </c>
      <c r="O10" s="2" t="inlineStr">
        <is>
          <t>Hit rates measured per target/design</t>
        </is>
      </c>
      <c r="P10" s="2" t="inlineStr">
        <is>
          <t>Select/iterate based on measured binders</t>
        </is>
      </c>
      <c r="Q10" s="2" t="inlineStr">
        <is>
          <t>Moderate; resources consumed but benign targets</t>
        </is>
      </c>
      <c r="R10" s="2" t="inlineStr">
        <is>
          <t>Substantial physical validation of digital designs; one target produced zero binders</t>
        </is>
      </c>
      <c r="S10" s="2" t="inlineStr">
        <is>
          <t>Wet-lab outcomes provide feedback for future design</t>
        </is>
      </c>
      <c r="T10" s="2" t="inlineStr">
        <is>
          <t>Potential, though case study focuses benchmarking rather than iterative retraining</t>
        </is>
      </c>
      <c r="U10" s="2" t="inlineStr">
        <is>
          <t>354/1,320 bound; average hit rate 26.8%</t>
        </is>
      </c>
      <c r="V10" s="2" t="inlineStr">
        <is>
          <t>Digital-physical translation; high-throughput validation; target heterogeneity</t>
        </is>
      </c>
      <c r="W10" s="2" t="inlineStr">
        <is>
          <t>Company case study; comparison details depend on benchmark context</t>
        </is>
      </c>
      <c r="X10" s="2" t="inlineStr">
        <is>
          <t>Demonstrated case-study results</t>
        </is>
      </c>
      <c r="Y10" s="2" t="inlineStr">
        <is>
          <t>https://www.adaptyvbio.com/blog/anthropic-1</t>
        </is>
      </c>
      <c r="Z10" s="2" t="inlineStr">
        <is>
          <t>https://www.adaptyvbio.com/blog/anthropic-1</t>
        </is>
      </c>
      <c r="AA10" s="2" t="inlineStr">
        <is>
          <t>Canonical web full-text link captured</t>
        </is>
      </c>
      <c r="AB10" s="2" t="inlineStr">
        <is>
          <t>Strong digital-to-physical trajectory.</t>
        </is>
      </c>
    </row>
    <row r="11">
      <c r="A11" s="2" t="inlineStr">
        <is>
          <t>T10</t>
        </is>
      </c>
      <c r="B11" s="2" t="inlineStr">
        <is>
          <t>Refusal-rate proxy changes model ranking relative to tier discrimination</t>
        </is>
      </c>
      <c r="C11" s="2" t="inlineStr">
        <is>
          <t>RefusalBench</t>
        </is>
      </c>
      <c r="D11" s="2" t="inlineStr">
        <is>
          <t>AI-bio / safeguard measurement</t>
        </is>
      </c>
      <c r="E11" s="2" t="inlineStr">
        <is>
          <t>Same frontier models evaluated on matched prompts across risk tiers</t>
        </is>
      </c>
      <c r="F11" s="2" t="inlineStr">
        <is>
          <t>Change metric from overall refusal rate to tier-sensitive discrimination / partial compliance</t>
        </is>
      </c>
      <c r="G11" s="2" t="inlineStr">
        <is>
          <t>Models, matched-triple prompts, graders, refusal metrics</t>
        </is>
      </c>
      <c r="H11" s="2" t="inlineStr">
        <is>
          <t>Metric &lt;-&gt; inferred safeguard quality</t>
        </is>
      </c>
      <c r="I11" s="2" t="inlineStr">
        <is>
          <t>Prompt responses and scoring labels</t>
        </is>
      </c>
      <c r="J11" s="2" t="inlineStr">
        <is>
          <t>Run matched prompts -&gt; compute strict refusal -&gt; compute tier discrimination/Youden J + hedge-but-help -&gt; model ranking changes</t>
        </is>
      </c>
      <c r="K11" s="2" t="inlineStr">
        <is>
          <t>Metric choice</t>
        </is>
      </c>
      <c r="L11" s="2" t="inlineStr">
        <is>
          <t>Binary refusal can overstate safety or penalize useful refusal behavior</t>
        </is>
      </c>
      <c r="M11" s="2" t="inlineStr">
        <is>
          <t>Tier-conditioned comparison and partial-compliance analysis</t>
        </is>
      </c>
      <c r="N11" s="2" t="inlineStr">
        <is>
          <t>At analysis stage</t>
        </is>
      </c>
      <c r="O11" s="2" t="inlineStr">
        <is>
          <t>Discrepancy attributable to metric definition</t>
        </is>
      </c>
      <c r="P11" s="2" t="inlineStr">
        <is>
          <t>Use better-calibrated metric</t>
        </is>
      </c>
      <c r="Q11" s="2" t="inlineStr">
        <is>
          <t>High</t>
        </is>
      </c>
      <c r="R11" s="2" t="inlineStr">
        <is>
          <t>Grok example ranks 7th by raw refusal but highest tier discrimination; hedge-but-help common</t>
        </is>
      </c>
      <c r="S11" s="2" t="inlineStr">
        <is>
          <t>Reanalysis changes conclusion, not model behavior</t>
        </is>
      </c>
      <c r="T11" s="2" t="inlineStr">
        <is>
          <t>Yes at evaluator/model-policy interpretation level</t>
        </is>
      </c>
      <c r="U11" s="2" t="inlineStr">
        <is>
          <t>Proxy-target decoupling demonstrated</t>
        </is>
      </c>
      <c r="V11" s="2" t="inlineStr">
        <is>
          <t>Metric validity; matched controls; partial compliance</t>
        </is>
      </c>
      <c r="W11" s="2" t="inlineStr">
        <is>
          <t>Still single-turn and model-only</t>
        </is>
      </c>
      <c r="X11" s="2" t="inlineStr">
        <is>
          <t>Demonstrated</t>
        </is>
      </c>
      <c r="Y11" s="2" t="inlineStr">
        <is>
          <t>https://arxiv.org/abs/2605.21545</t>
        </is>
      </c>
      <c r="Z11" s="2" t="inlineStr">
        <is>
          <t>https://arxiv.org/pdf/2605.21545</t>
        </is>
      </c>
      <c r="AA11" s="2" t="inlineStr">
        <is>
          <t>Measurement trajectory rather than operational failure trajectory.</t>
        </is>
      </c>
      <c r="AB11" s="2" t="n"/>
    </row>
  </sheetData>
  <autoFilter ref="A1:A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4" t="inlineStr">
        <is>
          <t>Set 3 Field</t>
        </is>
      </c>
      <c r="B1" s="4" t="inlineStr">
        <is>
          <t>Definition</t>
        </is>
      </c>
    </row>
    <row r="2">
      <c r="A2" s="2" t="inlineStr">
        <is>
          <t>trajectory</t>
        </is>
      </c>
      <c r="B2" s="2" t="inlineStr">
        <is>
          <t>Observed or experimental event/sequence</t>
        </is>
      </c>
    </row>
    <row r="3">
      <c r="A3" s="2" t="inlineStr">
        <is>
          <t>initial_state</t>
        </is>
      </c>
      <c r="B3" s="2" t="inlineStr">
        <is>
          <t>Starting state/configuration</t>
        </is>
      </c>
    </row>
    <row r="4">
      <c r="A4" s="2" t="inlineStr">
        <is>
          <t>initiating_perturbation</t>
        </is>
      </c>
      <c r="B4" s="2" t="inlineStr">
        <is>
          <t>Change, error, attack, mismatch or experimental intervention</t>
        </is>
      </c>
    </row>
    <row r="5">
      <c r="A5" s="2" t="inlineStr">
        <is>
          <t>components</t>
        </is>
      </c>
      <c r="B5" s="2" t="inlineStr">
        <is>
          <t>Components involved</t>
        </is>
      </c>
    </row>
    <row r="6">
      <c r="A6" s="2" t="inlineStr">
        <is>
          <t>relationship_affected</t>
        </is>
      </c>
      <c r="B6" s="2" t="inlineStr">
        <is>
          <t>Specific interface where perturbation enters or is expressed</t>
        </is>
      </c>
    </row>
    <row r="7">
      <c r="A7" s="2" t="inlineStr">
        <is>
          <t>what_flows</t>
        </is>
      </c>
      <c r="B7" s="2" t="inlineStr">
        <is>
          <t>Information, authority, code, material, control action, etc.</t>
        </is>
      </c>
    </row>
    <row r="8">
      <c r="A8" s="2" t="inlineStr">
        <is>
          <t>sequence</t>
        </is>
      </c>
      <c r="B8" s="2" t="inlineStr">
        <is>
          <t>Ordered propagation path</t>
        </is>
      </c>
    </row>
    <row r="9">
      <c r="A9" s="2" t="inlineStr">
        <is>
          <t>first_divergence</t>
        </is>
      </c>
      <c r="B9" s="2" t="inlineStr">
        <is>
          <t>Earliest point trajectory diverges from expected/baseline</t>
        </is>
      </c>
    </row>
    <row r="10">
      <c r="A10" s="2" t="inlineStr">
        <is>
          <t>amplification_points</t>
        </is>
      </c>
      <c r="B10" s="2" t="inlineStr">
        <is>
          <t>Where effect grows</t>
        </is>
      </c>
    </row>
    <row r="11">
      <c r="A11" s="2" t="inlineStr">
        <is>
          <t>buffering_points</t>
        </is>
      </c>
      <c r="B11" s="2" t="inlineStr">
        <is>
          <t>Where effect is reduced/stopped</t>
        </is>
      </c>
    </row>
    <row r="12">
      <c r="A12" s="2" t="inlineStr">
        <is>
          <t>detection</t>
        </is>
      </c>
      <c r="B12" s="2" t="inlineStr">
        <is>
          <t>How/when observed</t>
        </is>
      </c>
    </row>
    <row r="13">
      <c r="A13" s="2" t="inlineStr">
        <is>
          <t>attribution</t>
        </is>
      </c>
      <c r="B13" s="2" t="inlineStr">
        <is>
          <t>Can cause/source be located?</t>
        </is>
      </c>
    </row>
    <row r="14">
      <c r="A14" s="2" t="inlineStr">
        <is>
          <t>intervention</t>
        </is>
      </c>
      <c r="B14" s="2" t="inlineStr">
        <is>
          <t>Corrective action</t>
        </is>
      </c>
    </row>
    <row r="15">
      <c r="A15" s="2" t="inlineStr">
        <is>
          <t>reversibility</t>
        </is>
      </c>
      <c r="B15" s="2" t="inlineStr">
        <is>
          <t>Can action be undone before consequence?</t>
        </is>
      </c>
    </row>
    <row r="16">
      <c r="A16" s="2" t="inlineStr">
        <is>
          <t>recovery</t>
        </is>
      </c>
      <c r="B16" s="2" t="inlineStr">
        <is>
          <t>Did system return to viable/safe function?</t>
        </is>
      </c>
    </row>
    <row r="17">
      <c r="A17" s="2" t="inlineStr">
        <is>
          <t>feedback</t>
        </is>
      </c>
      <c r="B17" s="2" t="inlineStr">
        <is>
          <t>Did consequence information return?</t>
        </is>
      </c>
    </row>
    <row r="18">
      <c r="A18" s="2" t="inlineStr">
        <is>
          <t>update_learning</t>
        </is>
      </c>
      <c r="B18" s="2" t="inlineStr">
        <is>
          <t>Did recipient/system alter model, policy or behavior?</t>
        </is>
      </c>
    </row>
    <row r="19">
      <c r="A19" s="2" t="inlineStr">
        <is>
          <t>outcome</t>
        </is>
      </c>
      <c r="B19" s="2" t="inlineStr">
        <is>
          <t>Observed consequence</t>
        </is>
      </c>
    </row>
    <row r="20">
      <c r="A20" s="2" t="inlineStr">
        <is>
          <t>candidate_relational_variables</t>
        </is>
      </c>
      <c r="B20" s="2" t="inlineStr">
        <is>
          <t>Properties plausibly explanatory</t>
        </is>
      </c>
    </row>
  </sheetData>
  <autoFilter ref="A1:B2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  <col width="52" customWidth="1" min="4" max="4"/>
  </cols>
  <sheetData>
    <row r="1" ht="34" customHeight="1">
      <c r="A1" s="4" t="inlineStr">
        <is>
          <t>Analytical question</t>
        </is>
      </c>
      <c r="B1" s="4" t="inlineStr">
        <is>
          <t>Set 1: Funding</t>
        </is>
      </c>
      <c r="C1" s="4" t="inlineStr">
        <is>
          <t>Set 2: Evaluations</t>
        </is>
      </c>
      <c r="D1" s="4" t="inlineStr">
        <is>
          <t>Set 3: Trajectories</t>
        </is>
      </c>
    </row>
    <row r="2">
      <c r="A2" s="2" t="inlineStr">
        <is>
          <t>What is the unit?</t>
        </is>
      </c>
      <c r="B2" s="2" t="inlineStr">
        <is>
          <t>Award/project/output</t>
        </is>
      </c>
      <c r="C2" s="2" t="inlineStr">
        <is>
          <t>Benchmark/evaluation/study</t>
        </is>
      </c>
      <c r="D2" s="2" t="inlineStr">
        <is>
          <t>Observed or experimental trajectory</t>
        </is>
      </c>
    </row>
    <row r="3">
      <c r="A3" s="2" t="inlineStr">
        <is>
          <t>What is selected?</t>
        </is>
      </c>
      <c r="B3" s="2" t="inlineStr">
        <is>
          <t>Problems funders choose to support</t>
        </is>
      </c>
      <c r="C3" s="2" t="inlineStr">
        <is>
          <t>Constructs and workflow stages researchers choose to measure</t>
        </is>
      </c>
      <c r="D3" s="2" t="inlineStr">
        <is>
          <t>Perturbations/events that can be observed</t>
        </is>
      </c>
    </row>
    <row r="4">
      <c r="A4" s="2" t="inlineStr">
        <is>
          <t>Core flow</t>
        </is>
      </c>
      <c r="B4" s="2" t="inlineStr">
        <is>
          <t>Problem frame -&gt; funding -&gt; research output</t>
        </is>
      </c>
      <c r="C4" s="2" t="inlineStr">
        <is>
          <t>Threat/construct -&gt; proxy -&gt; result -&gt; security inference</t>
        </is>
      </c>
      <c r="D4" s="2" t="inlineStr">
        <is>
          <t>Perturbation -&gt; interface -&gt; propagation/buffering -&gt; outcome -&gt; feedback</t>
        </is>
      </c>
    </row>
    <row r="5">
      <c r="A5" s="2" t="inlineStr">
        <is>
          <t>System boundary</t>
        </is>
      </c>
      <c r="B5" s="2" t="inlineStr">
        <is>
          <t>What research assumes matters</t>
        </is>
      </c>
      <c r="C5" s="2" t="inlineStr">
        <is>
          <t>What evaluation includes/excludes</t>
        </is>
      </c>
      <c r="D5" s="2" t="inlineStr">
        <is>
          <t>What event/trajectory actually traverses</t>
        </is>
      </c>
    </row>
    <row r="6">
      <c r="A6" s="2" t="inlineStr">
        <is>
          <t>Key validity question</t>
        </is>
      </c>
      <c r="B6" s="2" t="inlineStr">
        <is>
          <t>Does portfolio fund the relevant science?</t>
        </is>
      </c>
      <c r="C6" s="2" t="inlineStr">
        <is>
          <t>Does metric measure/predict the claimed security construct?</t>
        </is>
      </c>
      <c r="D6" s="2" t="inlineStr">
        <is>
          <t>Which relationships causally change trajectory?</t>
        </is>
      </c>
    </row>
    <row r="7">
      <c r="A7" s="2" t="inlineStr">
        <is>
          <t>Shared fields</t>
        </is>
      </c>
      <c r="B7" s="2" t="inlineStr">
        <is>
          <t>system boundary; relationship/interface; flow; evidence; claim vs demonstration; context/provenance; authority; downstream use</t>
        </is>
      </c>
      <c r="C7" s="2" t="inlineStr">
        <is>
          <t>same</t>
        </is>
      </c>
      <c r="D7" s="2" t="inlineStr">
        <is>
          <t>same</t>
        </is>
      </c>
    </row>
    <row r="8">
      <c r="A8" s="2" t="inlineStr">
        <is>
          <t>Cross-set synthesis</t>
        </is>
      </c>
      <c r="B8" s="2" t="inlineStr">
        <is>
          <t>What we believe is threatening -&gt; what we fund</t>
        </is>
      </c>
      <c r="C8" s="2" t="inlineStr">
        <is>
          <t>What we fund -&gt; what we measure</t>
        </is>
      </c>
      <c r="D8" s="2" t="inlineStr">
        <is>
          <t>What we measure -&gt; what actually happens</t>
        </is>
      </c>
    </row>
  </sheetData>
  <autoFilter ref="A1:D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4" customWidth="1" min="3" max="3"/>
    <col width="80" customWidth="1" min="4" max="4"/>
  </cols>
  <sheetData>
    <row r="1" ht="34" customHeight="1">
      <c r="A1" s="4" t="inlineStr">
        <is>
          <t>Version</t>
        </is>
      </c>
      <c r="B1" s="4" t="inlineStr">
        <is>
          <t>Date</t>
        </is>
      </c>
      <c r="C1" s="4" t="inlineStr">
        <is>
          <t>Change</t>
        </is>
      </c>
      <c r="D1" s="4" t="inlineStr">
        <is>
          <t>Rationale</t>
        </is>
      </c>
    </row>
    <row r="2">
      <c r="A2" s="2" t="inlineStr">
        <is>
          <t>v0</t>
        </is>
      </c>
      <c r="B2" s="2" t="inlineStr">
        <is>
          <t>2026-09-18</t>
        </is>
      </c>
      <c r="C2" s="2" t="inlineStr">
        <is>
          <t>10-record Set 1 funding pilot</t>
        </is>
      </c>
      <c r="D2" s="2" t="inlineStr">
        <is>
          <t>Pressure-test initial schema</t>
        </is>
      </c>
    </row>
    <row r="3">
      <c r="A3" s="2" t="inlineStr">
        <is>
          <t>v1</t>
        </is>
      </c>
      <c r="B3" s="2" t="inlineStr">
        <is>
          <t>2026-09-19</t>
        </is>
      </c>
      <c r="C3" s="2" t="inlineStr">
        <is>
          <t>Added shared common spine and distinct Set 2/Set 3 schemas</t>
        </is>
      </c>
      <c r="D3" s="2" t="inlineStr">
        <is>
          <t>Preserve comparability without collapsing different units of analysis</t>
        </is>
      </c>
    </row>
    <row r="4">
      <c r="A4" s="2" t="inlineStr">
        <is>
          <t>v1</t>
        </is>
      </c>
      <c r="B4" s="2" t="inlineStr">
        <is>
          <t>2026-09-19</t>
        </is>
      </c>
      <c r="C4" s="2" t="inlineStr">
        <is>
          <t>Added 11-record AI-bio evaluation pilot</t>
        </is>
      </c>
      <c r="D4" s="2" t="inlineStr">
        <is>
          <t>Test workflow-stage/configuration/validity fields</t>
        </is>
      </c>
    </row>
    <row r="5">
      <c r="A5" s="2" t="inlineStr">
        <is>
          <t>v1</t>
        </is>
      </c>
      <c r="B5" s="2" t="inlineStr">
        <is>
          <t>2026-09-19</t>
        </is>
      </c>
      <c r="C5" s="2" t="inlineStr">
        <is>
          <t>Added 10-record trajectory pilot</t>
        </is>
      </c>
      <c r="D5" s="2" t="inlineStr">
        <is>
          <t>Test propagation/buffering/recovery/feedback variables</t>
        </is>
      </c>
    </row>
    <row r="6">
      <c r="A6" s="2" t="inlineStr">
        <is>
          <t>v1</t>
        </is>
      </c>
      <c r="B6" s="2" t="inlineStr">
        <is>
          <t>2026-09-19</t>
        </is>
      </c>
      <c r="C6" s="2" t="inlineStr">
        <is>
          <t>Added explicit context/provenance, authority/control, feedback/update fields</t>
        </is>
      </c>
      <c r="D6" s="2" t="inlineStr">
        <is>
          <t>These repeatedly emerged as potentially explanatory relational properties</t>
        </is>
      </c>
    </row>
    <row r="7">
      <c r="A7" s="2" t="inlineStr">
        <is>
          <t>v1</t>
        </is>
      </c>
      <c r="B7" s="2" t="inlineStr">
        <is>
          <t>2026-09-19</t>
        </is>
      </c>
      <c r="C7" s="2" t="inlineStr">
        <is>
          <t>Preserved claim vs demonstration and evidence-level coding</t>
        </is>
      </c>
      <c r="D7" s="2" t="inlineStr">
        <is>
          <t>Avoid reproducing the inference problem under study</t>
        </is>
      </c>
    </row>
    <row r="8">
      <c r="A8" s="2" t="inlineStr">
        <is>
          <t>v1</t>
        </is>
      </c>
      <c r="B8" s="2" t="inlineStr">
        <is>
          <t>2026-09-19</t>
        </is>
      </c>
      <c r="C8" s="2" t="inlineStr">
        <is>
          <t>Added boundary-sensitivity consistently across sets</t>
        </is>
      </c>
      <c r="D8" s="2" t="inlineStr">
        <is>
          <t>Key hypothesis: conclusions may change when system boundary expands</t>
        </is>
      </c>
    </row>
    <row r="9">
      <c r="A9" t="inlineStr">
        <is>
          <t>v1.1</t>
        </is>
      </c>
      <c r="B9" t="inlineStr">
        <is>
          <t>2026-09-19</t>
        </is>
      </c>
      <c r="C9" t="inlineStr">
        <is>
          <t>Pressure-tested 21 pilot observations; split feedback from learning; split construct from proxy; split validity evidence from assessment; distinguished physical involvement from physical validation; standardized configuration; added neutral institutional-interest fields; corrected E10 column shift.</t>
        </is>
      </c>
      <c r="D9" t="inlineStr">
        <is>
          <t>Pilot coding revealed conflated concepts and one data-integrity error. Changes improve auditability, inter-coder reliability and cross-set analysis.</t>
        </is>
      </c>
    </row>
    <row r="10">
      <c r="A10" t="inlineStr">
        <is>
          <t>v1.2</t>
        </is>
      </c>
      <c r="B10" t="inlineStr">
        <is>
          <t>2026-09-19</t>
        </is>
      </c>
      <c r="C10" t="inlineStr">
        <is>
          <t>Expanded Set1 by 20 funding records, Set2 by 7 evaluation records, Set3 by 5 trajectories; added coverage and expansion notes.</t>
        </is>
      </c>
      <c r="D10" t="inlineStr">
        <is>
          <t>Scale after v1.1 schema review while retaining explicit provenance and claim-demonstration separation.</t>
        </is>
      </c>
    </row>
    <row r="11">
      <c r="A11" t="inlineStr">
        <is>
          <t>v1.3</t>
        </is>
      </c>
      <c r="B11" t="inlineStr">
        <is>
          <t>2026-09-19</t>
        </is>
      </c>
      <c r="C11" t="inlineStr">
        <is>
          <t>Expanded Set1 +15, Set2 +12, Set3 +12; retained v1.1 schema; added deliberate counterexamples and workflow/physical cases.</t>
        </is>
      </c>
    </row>
    <row r="12">
      <c r="A12" t="inlineStr">
        <is>
          <t>v1.4</t>
        </is>
      </c>
      <c r="B12" t="inlineStr">
        <is>
          <t>2026-09-19</t>
        </is>
      </c>
      <c r="C12" t="inlineStr">
        <is>
          <t>Expanded with field incidents, null/negative studies, human-in-loop and physical-validation cases; added first cross-set qualitative analysis.</t>
        </is>
      </c>
      <c r="D12" t="inlineStr">
        <is>
          <t>Test emerging hypotheses before further scale-up and reduce survivorship/proxy bias.</t>
        </is>
      </c>
    </row>
    <row r="13">
      <c r="A13" t="inlineStr">
        <is>
          <t>v1.5</t>
        </is>
      </c>
      <c r="B13" t="inlineStr">
        <is>
          <t>2026-09-19</t>
        </is>
      </c>
      <c r="C13" t="inlineStr">
        <is>
          <t>Added formal cross-set analysis coding, summary metrics, findings, and testable questions.</t>
        </is>
      </c>
      <c r="D13" t="inlineStr">
        <is>
          <t>Convert qualitative synthesis into auditable, reproducible exploratory analysis before further corpus expansion.</t>
        </is>
      </c>
    </row>
    <row r="14">
      <c r="A14" t="inlineStr">
        <is>
          <t>v1.6</t>
        </is>
      </c>
      <c r="B14" t="inlineStr">
        <is>
          <t>2026-09-19</t>
        </is>
      </c>
      <c r="C14" t="inlineStr">
        <is>
          <t>Added 30-record comparator corpus across six adjacent traditions plus comparative synthesis sheets.</t>
        </is>
      </c>
      <c r="D14" t="inlineStr">
        <is>
          <t>Tests whether patterns observed in AI-security corpus persist or differ in mature/adjacent safety, cyber, bioinformatics, evaluation-science, and successful-biology literatures.</t>
        </is>
      </c>
    </row>
    <row r="15">
      <c r="A15" t="inlineStr">
        <is>
          <t>v1.7</t>
        </is>
      </c>
      <c r="B15" t="inlineStr">
        <is>
          <t>2026-09-19</t>
        </is>
      </c>
      <c r="C15" t="inlineStr">
        <is>
          <t>Added matched capability-chain analysis across benchmark, workflow, human-AI, and physical/deployed boundaries.</t>
        </is>
      </c>
      <c r="D15" t="inlineStr">
        <is>
          <t>Test whether proxy-level expectations survive system-boundary expansion and identify relational mediators.</t>
        </is>
      </c>
    </row>
  </sheetData>
  <autoFilter ref="A1:D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50" customWidth="1" min="4" max="4"/>
    <col width="24" customWidth="1" min="5" max="5"/>
    <col width="40" customWidth="1" min="6" max="6"/>
    <col width="50" customWidth="1" min="7" max="7"/>
  </cols>
  <sheetData>
    <row r="1" ht="34" customHeight="1">
      <c r="A1" s="4" t="inlineStr">
        <is>
          <t>source_id</t>
        </is>
      </c>
      <c r="B1" s="4" t="inlineStr">
        <is>
          <t>title</t>
        </is>
      </c>
      <c r="C1" s="4" t="inlineStr">
        <is>
          <t>canonical_url</t>
        </is>
      </c>
      <c r="D1" s="4" t="inlineStr">
        <is>
          <t>full_text_url</t>
        </is>
      </c>
      <c r="E1" s="4" t="inlineStr">
        <is>
          <t>local_status</t>
        </is>
      </c>
      <c r="F1" s="4" t="inlineStr">
        <is>
          <t>local_path</t>
        </is>
      </c>
      <c r="G1" s="4" t="inlineStr">
        <is>
          <t>notes</t>
        </is>
      </c>
    </row>
    <row r="2">
      <c r="A2" s="2" t="inlineStr">
        <is>
          <t>E01</t>
        </is>
      </c>
      <c r="B2" s="2" t="inlineStr">
        <is>
          <t>LAB-Bench</t>
        </is>
      </c>
      <c r="C2" s="2" t="inlineStr">
        <is>
          <t>https://arxiv.org/abs/2407.10362</t>
        </is>
      </c>
      <c r="D2" s="2" t="inlineStr">
        <is>
          <t>https://arxiv.org/pdf/2407.10362</t>
        </is>
      </c>
      <c r="E2" s="2" t="inlineStr">
        <is>
          <t>Canonical link captured</t>
        </is>
      </c>
      <c r="F2" s="2" t="inlineStr"/>
      <c r="G2" s="2" t="inlineStr"/>
    </row>
    <row r="3">
      <c r="A3" s="2" t="inlineStr">
        <is>
          <t>E02</t>
        </is>
      </c>
      <c r="B3" s="2" t="inlineStr">
        <is>
          <t>Virology Capabilities Test (VCT)</t>
        </is>
      </c>
      <c r="C3" s="2" t="inlineStr">
        <is>
          <t>https://arxiv.org/abs/2504.16137</t>
        </is>
      </c>
      <c r="D3" s="2" t="inlineStr">
        <is>
          <t>https://arxiv.org/pdf/2504.16137</t>
        </is>
      </c>
      <c r="E3" s="2" t="inlineStr">
        <is>
          <t>Canonical link captured</t>
        </is>
      </c>
      <c r="F3" s="2" t="inlineStr"/>
      <c r="G3" s="2" t="inlineStr"/>
    </row>
    <row r="4">
      <c r="A4" s="2" t="inlineStr">
        <is>
          <t>E03</t>
        </is>
      </c>
      <c r="B4" s="2" t="inlineStr">
        <is>
          <t>ABC-Bench</t>
        </is>
      </c>
      <c r="C4" s="2" t="inlineStr">
        <is>
          <t>https://arxiv.org/abs/2606.11150</t>
        </is>
      </c>
      <c r="D4" s="2" t="inlineStr">
        <is>
          <t>https://arxiv.org/pdf/2606.11150</t>
        </is>
      </c>
      <c r="E4" s="2" t="inlineStr">
        <is>
          <t>Canonical link captured</t>
        </is>
      </c>
      <c r="F4" s="2" t="inlineStr"/>
      <c r="G4" s="2" t="inlineStr"/>
    </row>
    <row r="5">
      <c r="A5" s="2" t="inlineStr">
        <is>
          <t>E04</t>
        </is>
      </c>
      <c r="B5" s="2" t="inlineStr">
        <is>
          <t>BioDesignBench</t>
        </is>
      </c>
      <c r="C5" s="2" t="inlineStr">
        <is>
          <t>https://pmc.ncbi.nlm.nih.gov/articles/PMC13174699/</t>
        </is>
      </c>
      <c r="D5" s="2" t="inlineStr">
        <is>
          <t>https://pmc.ncbi.nlm.nih.gov/articles/PMC13174699/</t>
        </is>
      </c>
      <c r="E5" s="2" t="inlineStr">
        <is>
          <t>Full text public on PMC; canonical link captured</t>
        </is>
      </c>
      <c r="F5" s="2" t="inlineStr"/>
      <c r="G5" s="2" t="inlineStr"/>
    </row>
    <row r="6">
      <c r="A6" s="2" t="inlineStr">
        <is>
          <t>E05</t>
        </is>
      </c>
      <c r="B6" s="2" t="inlineStr">
        <is>
          <t>AIPD TEVV with safe biological proxies</t>
        </is>
      </c>
      <c r="C6" s="2" t="inlineStr">
        <is>
          <t>https://www.nist.gov/publications/experimental-evaluation-ai-driven-protein-design-risks-using-safe-biological-proxies</t>
        </is>
      </c>
      <c r="D6" s="2" t="inlineStr">
        <is>
          <t>https://www.biorxiv.org/content/10.1101/2025.05.15.654077v2.full.pdf</t>
        </is>
      </c>
      <c r="E6" s="2" t="inlineStr">
        <is>
          <t>Canonical link captured</t>
        </is>
      </c>
      <c r="F6" s="2" t="inlineStr"/>
      <c r="G6" s="2" t="inlineStr"/>
    </row>
    <row r="7">
      <c r="A7" s="2" t="inlineStr">
        <is>
          <t>E06</t>
        </is>
      </c>
      <c r="B7" s="2" t="inlineStr">
        <is>
          <t>LANL skill-based uplift wet-lab pilot</t>
        </is>
      </c>
      <c r="C7" s="2" t="inlineStr">
        <is>
          <t>https://arxiv.org/abs/2512.10960</t>
        </is>
      </c>
      <c r="D7" s="2" t="inlineStr">
        <is>
          <t>https://arxiv.org/pdf/2512.10960</t>
        </is>
      </c>
      <c r="E7" s="2" t="inlineStr">
        <is>
          <t>Canonical link captured</t>
        </is>
      </c>
      <c r="F7" s="2" t="inlineStr"/>
      <c r="G7" s="2" t="inlineStr"/>
    </row>
    <row r="8">
      <c r="A8" s="2" t="inlineStr">
        <is>
          <t>E07</t>
        </is>
      </c>
      <c r="B8" s="2" t="inlineStr">
        <is>
          <t>RefusalBench</t>
        </is>
      </c>
      <c r="C8" s="2" t="inlineStr">
        <is>
          <t>https://arxiv.org/abs/2605.21545</t>
        </is>
      </c>
      <c r="D8" s="2" t="inlineStr">
        <is>
          <t>https://arxiv.org/pdf/2605.21545</t>
        </is>
      </c>
      <c r="E8" s="2" t="inlineStr">
        <is>
          <t>Canonical link captured</t>
        </is>
      </c>
      <c r="F8" s="2" t="inlineStr"/>
      <c r="G8" s="2" t="inlineStr"/>
    </row>
    <row r="9">
      <c r="A9" s="2" t="inlineStr">
        <is>
          <t>E08</t>
        </is>
      </c>
      <c r="B9" s="2" t="inlineStr">
        <is>
          <t>BioTIER</t>
        </is>
      </c>
      <c r="C9" s="2" t="inlineStr">
        <is>
          <t>https://arxiv.org/abs/2607.14479</t>
        </is>
      </c>
      <c r="D9" s="2" t="inlineStr">
        <is>
          <t>https://arxiv.org/pdf/2607.14479</t>
        </is>
      </c>
      <c r="E9" s="2" t="inlineStr">
        <is>
          <t>Canonical link captured</t>
        </is>
      </c>
      <c r="F9" s="2" t="inlineStr"/>
      <c r="G9" s="2" t="inlineStr"/>
    </row>
    <row r="10">
      <c r="A10" s="2" t="inlineStr">
        <is>
          <t>E09</t>
        </is>
      </c>
      <c r="B10" s="2" t="inlineStr">
        <is>
          <t>Bacterial Biothreat Benchmark (B3) / BBG implementation</t>
        </is>
      </c>
      <c r="C10" s="2" t="inlineStr">
        <is>
          <t>https://arxiv.org/abs/2512.08459</t>
        </is>
      </c>
      <c r="D10" s="2" t="inlineStr">
        <is>
          <t>https://arxiv.org/pdf/2512.08459</t>
        </is>
      </c>
      <c r="E10" s="2" t="inlineStr">
        <is>
          <t>Canonical link captured</t>
        </is>
      </c>
      <c r="F10" s="2" t="inlineStr"/>
      <c r="G10" s="2" t="inlineStr"/>
    </row>
    <row r="11">
      <c r="A11" s="2" t="inlineStr">
        <is>
          <t>E10</t>
        </is>
      </c>
      <c r="B11" s="2" t="inlineStr">
        <is>
          <t>Sequence-based biosecurity screening resilience study</t>
        </is>
      </c>
      <c r="C11" s="2" t="inlineStr">
        <is>
          <t>https://pmc.ncbi.nlm.nih.gov/articles/PMC13402867/</t>
        </is>
      </c>
      <c r="D11" s="2" t="inlineStr">
        <is>
          <t>Full text public on PMC; canonical link captured</t>
        </is>
      </c>
      <c r="E11" s="2" t="inlineStr">
        <is>
          <t>Good mitigation/defense-in-depth case.</t>
        </is>
      </c>
      <c r="F11" s="2" t="inlineStr"/>
      <c r="G11" s="2" t="inlineStr"/>
    </row>
    <row r="12">
      <c r="A12" s="2" t="inlineStr">
        <is>
          <t>E11</t>
        </is>
      </c>
      <c r="B12" s="2" t="inlineStr">
        <is>
          <t>OpenAI / Red Queen Bio wet-lab optimization evaluation</t>
        </is>
      </c>
      <c r="C12" s="2" t="inlineStr">
        <is>
          <t>https://openai.com/index/accelerating-biological-research-in-the-wet-lab/</t>
        </is>
      </c>
      <c r="D12" s="2" t="inlineStr">
        <is>
          <t>https://openai.com/index/accelerating-biological-research-in-the-wet-lab/</t>
        </is>
      </c>
      <c r="E12" s="2" t="inlineStr">
        <is>
          <t>Canonical web full-text link captured</t>
        </is>
      </c>
      <c r="F12" s="2" t="inlineStr"/>
      <c r="G12" s="2" t="inlineStr"/>
    </row>
    <row r="13">
      <c r="A13" s="2" t="inlineStr">
        <is>
          <t>T01</t>
        </is>
      </c>
      <c r="B13" s="2" t="inlineStr">
        <is>
          <t>ABC-Bench OpenTrons wet-lab execution</t>
        </is>
      </c>
      <c r="C13" s="2" t="inlineStr">
        <is>
          <t>https://arxiv.org/abs/2606.11150</t>
        </is>
      </c>
      <c r="D13" s="2" t="inlineStr">
        <is>
          <t>https://arxiv.org/pdf/2606.11150</t>
        </is>
      </c>
      <c r="E13" s="2" t="inlineStr">
        <is>
          <t>Canonical link captured</t>
        </is>
      </c>
      <c r="F13" s="2" t="inlineStr"/>
      <c r="G13" s="2" t="inlineStr"/>
    </row>
    <row r="14">
      <c r="A14" s="2" t="inlineStr">
        <is>
          <t>T02</t>
        </is>
      </c>
      <c r="B14" s="2" t="inlineStr">
        <is>
          <t>GPT-5 iterative cloning optimization</t>
        </is>
      </c>
      <c r="C14" s="2" t="inlineStr">
        <is>
          <t>https://openai.com/index/accelerating-biological-research-in-the-wet-lab/</t>
        </is>
      </c>
      <c r="D14" s="2" t="inlineStr">
        <is>
          <t>https://openai.com/index/accelerating-biological-research-in-the-wet-lab/</t>
        </is>
      </c>
      <c r="E14" s="2" t="inlineStr">
        <is>
          <t>Canonical link captured</t>
        </is>
      </c>
      <c r="F14" s="2" t="inlineStr"/>
      <c r="G14" s="2" t="inlineStr"/>
    </row>
    <row r="15">
      <c r="A15" s="2" t="inlineStr">
        <is>
          <t>T03</t>
        </is>
      </c>
      <c r="B15" s="2" t="inlineStr">
        <is>
          <t>In-silico screening-evasion concern tested with safe physical proxies</t>
        </is>
      </c>
      <c r="C15" s="2" t="inlineStr">
        <is>
          <t>https://www.nist.gov/publications/experimental-evaluation-ai-driven-protein-design-risks-using-safe-biological-proxies</t>
        </is>
      </c>
      <c r="D15" s="2" t="inlineStr">
        <is>
          <t>https://www.biorxiv.org/content/10.1101/2025.05.15.654077v2.full.pdf</t>
        </is>
      </c>
      <c r="E15" s="2" t="inlineStr">
        <is>
          <t>Canonical link captured</t>
        </is>
      </c>
      <c r="F15" s="2" t="inlineStr"/>
      <c r="G15" s="2" t="inlineStr"/>
    </row>
    <row r="16">
      <c r="A16" s="2" t="inlineStr">
        <is>
          <t>T04</t>
        </is>
      </c>
      <c r="B16" s="2" t="inlineStr">
        <is>
          <t>LANL novice wet-lab uplift pilot</t>
        </is>
      </c>
      <c r="C16" s="2" t="inlineStr">
        <is>
          <t>https://arxiv.org/abs/2512.10960</t>
        </is>
      </c>
      <c r="D16" s="2" t="inlineStr">
        <is>
          <t>https://arxiv.org/pdf/2512.10960</t>
        </is>
      </c>
      <c r="E16" s="2" t="inlineStr">
        <is>
          <t>Canonical link captured</t>
        </is>
      </c>
      <c r="F16" s="2" t="inlineStr"/>
      <c r="G16" s="2" t="inlineStr"/>
    </row>
    <row r="17">
      <c r="A17" s="2" t="inlineStr">
        <is>
          <t>T05</t>
        </is>
      </c>
      <c r="B17" s="2" t="inlineStr">
        <is>
          <t>AI-reformulated sequences challenged synthesis screening</t>
        </is>
      </c>
      <c r="C17" s="2" t="inlineStr">
        <is>
          <t>https://pmc.ncbi.nlm.nih.gov/articles/PMC13402867/</t>
        </is>
      </c>
      <c r="D17" s="2" t="inlineStr">
        <is>
          <t>https://pmc.ncbi.nlm.nih.gov/articles/PMC13402867/</t>
        </is>
      </c>
      <c r="E17" s="2" t="inlineStr">
        <is>
          <t>Canonical link captured</t>
        </is>
      </c>
      <c r="F17" s="2" t="inlineStr"/>
      <c r="G17" s="2" t="inlineStr"/>
    </row>
    <row r="18">
      <c r="A18" s="2" t="inlineStr">
        <is>
          <t>T06</t>
        </is>
      </c>
      <c r="B18" s="2" t="inlineStr">
        <is>
          <t>Forced-depth intervention changes LLM-agent protein design performance</t>
        </is>
      </c>
      <c r="C18" s="2" t="inlineStr">
        <is>
          <t>https://pmc.ncbi.nlm.nih.gov/articles/PMC13174699/</t>
        </is>
      </c>
      <c r="D18" s="2" t="inlineStr">
        <is>
          <t>https://pmc.ncbi.nlm.nih.gov/articles/PMC13174699/</t>
        </is>
      </c>
      <c r="E18" s="2" t="inlineStr">
        <is>
          <t>Canonical link captured</t>
        </is>
      </c>
      <c r="F18" s="2" t="inlineStr"/>
      <c r="G18" s="2" t="inlineStr"/>
    </row>
    <row r="19">
      <c r="A19" s="2" t="inlineStr">
        <is>
          <t>T07</t>
        </is>
      </c>
      <c r="B19" s="2" t="inlineStr">
        <is>
          <t>Mythos 5 social-engineering attempt blocked by human vigilance</t>
        </is>
      </c>
      <c r="C19" s="2" t="inlineStr">
        <is>
          <t>https://arxiv.org/abs/2609.14796</t>
        </is>
      </c>
      <c r="D19" s="2" t="inlineStr">
        <is>
          <t>https://arxiv.org/pdf/2609.14796</t>
        </is>
      </c>
      <c r="E19" s="2" t="inlineStr">
        <is>
          <t>Locally archived</t>
        </is>
      </c>
      <c r="F19" s="2" t="inlineStr">
        <is>
          <t>sources/2609.14796_PUC.pdf</t>
        </is>
      </c>
      <c r="G19" s="2" t="inlineStr">
        <is>
          <t>User-supplied full-text PDF.</t>
        </is>
      </c>
    </row>
    <row r="20">
      <c r="A20" s="2" t="inlineStr">
        <is>
          <t>T08</t>
        </is>
      </c>
      <c r="B20" s="2" t="inlineStr">
        <is>
          <t>Removal of source context degrades manipulation monitoring</t>
        </is>
      </c>
      <c r="C20" s="2" t="inlineStr">
        <is>
          <t>https://arxiv.org/abs/2609.14796</t>
        </is>
      </c>
      <c r="D20" s="2" t="inlineStr">
        <is>
          <t>https://arxiv.org/pdf/2609.14796</t>
        </is>
      </c>
      <c r="E20" s="2" t="inlineStr">
        <is>
          <t>Locally archived</t>
        </is>
      </c>
      <c r="F20" s="2" t="inlineStr">
        <is>
          <t>sources/2609.14796_PUC.pdf</t>
        </is>
      </c>
      <c r="G20" s="2" t="inlineStr">
        <is>
          <t>User-supplied full-text PDF.</t>
        </is>
      </c>
    </row>
    <row r="21">
      <c r="A21" s="2" t="inlineStr">
        <is>
          <t>T09</t>
        </is>
      </c>
      <c r="B21" s="2" t="inlineStr">
        <is>
          <t>Claude protein designs carried through automated wet lab</t>
        </is>
      </c>
      <c r="C21" s="2" t="inlineStr">
        <is>
          <t>https://www.adaptyvbio.com/blog/anthropic-1</t>
        </is>
      </c>
      <c r="D21" s="2" t="inlineStr">
        <is>
          <t>https://www.adaptyvbio.com/blog/anthropic-1</t>
        </is>
      </c>
      <c r="E21" s="2" t="inlineStr">
        <is>
          <t>Canonical link captured</t>
        </is>
      </c>
      <c r="F21" s="2" t="inlineStr"/>
      <c r="G21" s="2" t="inlineStr"/>
    </row>
    <row r="22">
      <c r="A22" s="2" t="inlineStr">
        <is>
          <t>T10</t>
        </is>
      </c>
      <c r="B22" s="2" t="inlineStr">
        <is>
          <t>Refusal-rate proxy changes model ranking relative to tier discrimination</t>
        </is>
      </c>
      <c r="C22" s="2" t="inlineStr">
        <is>
          <t>https://arxiv.org/abs/2605.21545</t>
        </is>
      </c>
      <c r="D22" s="2" t="inlineStr">
        <is>
          <t>https://arxiv.org/pdf/2605.21545</t>
        </is>
      </c>
      <c r="E22" s="2" t="inlineStr">
        <is>
          <t>Canonical link captured</t>
        </is>
      </c>
      <c r="F22" s="2" t="inlineStr"/>
      <c r="G22" s="2" t="inlineStr"/>
    </row>
    <row r="23">
      <c r="A23" s="2" t="inlineStr"/>
      <c r="B23" s="2" t="inlineStr">
        <is>
          <t>BioAgent Bench</t>
        </is>
      </c>
      <c r="C23" s="2" t="inlineStr">
        <is>
          <t>https://arxiv.org/abs/2601.21800</t>
        </is>
      </c>
      <c r="D23" s="2" t="inlineStr">
        <is>
          <t>https://arxiv.org/pdf/2601.21800</t>
        </is>
      </c>
      <c r="E23" s="2" t="inlineStr"/>
      <c r="F23" s="2" t="inlineStr"/>
      <c r="G23" s="2" t="inlineStr"/>
    </row>
    <row r="24">
      <c r="A24" s="2" t="inlineStr"/>
      <c r="B24" s="2" t="inlineStr">
        <is>
          <t>BioSecBench-Surveillance</t>
        </is>
      </c>
      <c r="C24" s="2" t="inlineStr">
        <is>
          <t>https://arxiv.org/abs/2607.19262</t>
        </is>
      </c>
      <c r="D24" s="2" t="inlineStr">
        <is>
          <t>https://arxiv.org/pdf/2607.19262</t>
        </is>
      </c>
      <c r="E24" s="2" t="inlineStr"/>
      <c r="F24" s="2" t="inlineStr"/>
      <c r="G24" s="2" t="inlineStr"/>
    </row>
    <row r="25">
      <c r="A25" s="2" t="inlineStr"/>
      <c r="B25" s="2" t="inlineStr">
        <is>
          <t>BiomniBench</t>
        </is>
      </c>
      <c r="C25" s="2" t="inlineStr">
        <is>
          <t>https://www.biorxiv.org/content/10.64898/2026.05.12.724604v2</t>
        </is>
      </c>
      <c r="D25" s="2" t="inlineStr">
        <is>
          <t>https://www.biorxiv.org/content/10.64898/2026.05.12.724604v2.full.pdf</t>
        </is>
      </c>
      <c r="E25" s="2" t="inlineStr"/>
      <c r="F25" s="2" t="inlineStr"/>
      <c r="G25" s="2" t="inlineStr"/>
    </row>
    <row r="26">
      <c r="A26" s="2" t="inlineStr"/>
      <c r="B26" s="2" t="inlineStr">
        <is>
          <t>BioML-bench</t>
        </is>
      </c>
      <c r="C26" s="2" t="inlineStr">
        <is>
          <t>https://www.biorxiv.org/content/10.1101/2025.09.01.673319v3</t>
        </is>
      </c>
      <c r="D26" s="2" t="inlineStr">
        <is>
          <t>https://www.biorxiv.org/content/10.1101/2025.09.01.673319v3.full.pdf</t>
        </is>
      </c>
      <c r="E26" s="2" t="inlineStr"/>
      <c r="F26" s="2" t="inlineStr"/>
      <c r="G26" s="2" t="inlineStr"/>
    </row>
    <row r="27">
      <c r="A27" s="2" t="inlineStr"/>
      <c r="B27" s="2" t="inlineStr">
        <is>
          <t>GeneBench</t>
        </is>
      </c>
      <c r="C27" s="2" t="inlineStr">
        <is>
          <t>https://www.biorxiv.org/content/10.64898/2026.04.22.720113v1</t>
        </is>
      </c>
      <c r="D27" s="2" t="inlineStr">
        <is>
          <t>https://www.biorxiv.org/content/10.64898/2026.04.22.720113v1.full.pdf</t>
        </is>
      </c>
      <c r="E27" s="2" t="inlineStr"/>
      <c r="F27" s="2" t="inlineStr"/>
      <c r="G27" s="2" t="inlineStr"/>
    </row>
    <row r="28">
      <c r="A28" s="2" t="inlineStr"/>
      <c r="B28" s="2" t="inlineStr">
        <is>
          <t>OpenAgentSafety</t>
        </is>
      </c>
      <c r="C28" s="2" t="inlineStr">
        <is>
          <t>https://arxiv.org/abs/2507.06134</t>
        </is>
      </c>
      <c r="D28" s="2" t="inlineStr">
        <is>
          <t>https://arxiv.org/pdf/2507.06134</t>
        </is>
      </c>
      <c r="E28" s="2" t="inlineStr"/>
      <c r="F28" s="2" t="inlineStr"/>
      <c r="G28" s="2" t="inlineStr"/>
    </row>
    <row r="29">
      <c r="A29" s="2" t="inlineStr"/>
      <c r="B29" s="2" t="inlineStr">
        <is>
          <t>LLMs Outperform Experts on Challenging Biology Benchmarks</t>
        </is>
      </c>
      <c r="C29" s="2" t="inlineStr">
        <is>
          <t>https://arxiv.org/abs/2505.06108</t>
        </is>
      </c>
      <c r="D29" s="2" t="inlineStr">
        <is>
          <t>https://arxiv.org/pdf/2505.06108</t>
        </is>
      </c>
      <c r="E29" s="2" t="inlineStr"/>
      <c r="F29" s="2" t="inlineStr"/>
      <c r="G29" s="2" t="inlineStr"/>
    </row>
    <row r="30">
      <c r="A30" s="2" t="inlineStr"/>
      <c r="B30" s="2" t="inlineStr">
        <is>
          <t>AISF Round Two grantees</t>
        </is>
      </c>
      <c r="C30" s="2" t="inlineStr">
        <is>
          <t>https://www.frontiermodelforum.org/updates/announcement-of-new-ai-safety-fund-grantees/</t>
        </is>
      </c>
      <c r="D30" s="2" t="inlineStr"/>
      <c r="E30" s="2" t="inlineStr"/>
      <c r="F30" s="2" t="inlineStr"/>
      <c r="G30" s="2" t="inlineStr"/>
    </row>
    <row r="31">
      <c r="A31" s="2" t="inlineStr"/>
      <c r="B31" s="2" t="inlineStr">
        <is>
          <t>CSET Foundational Research Grants</t>
        </is>
      </c>
      <c r="C31" s="2" t="inlineStr">
        <is>
          <t>https://cset.georgetown.edu/foundational-research-grants/</t>
        </is>
      </c>
      <c r="D31" s="2" t="inlineStr"/>
      <c r="E31" s="2" t="inlineStr"/>
      <c r="F31" s="2" t="inlineStr"/>
      <c r="G31" s="2" t="inlineStr"/>
    </row>
    <row r="32">
      <c r="A32" s="2" t="inlineStr"/>
      <c r="B32" s="2" t="inlineStr">
        <is>
          <t>Schmidt Sciences - Andrea Bajcsy</t>
        </is>
      </c>
      <c r="C32" s="2" t="inlineStr">
        <is>
          <t>https://www.schmidtsciences.org/grantee/andrea-bajcsy/</t>
        </is>
      </c>
      <c r="D32" s="2" t="inlineStr"/>
      <c r="E32" s="2" t="inlineStr"/>
      <c r="F32" s="2" t="inlineStr"/>
      <c r="G32" s="2" t="inlineStr"/>
    </row>
    <row r="33">
      <c r="A33" s="2" t="inlineStr"/>
      <c r="B33" s="2" t="inlineStr">
        <is>
          <t>Schmidt Sciences - Bo Li</t>
        </is>
      </c>
      <c r="C33" s="2" t="inlineStr">
        <is>
          <t>https://www.schmidtsciences.org/grantee/bo-li/</t>
        </is>
      </c>
      <c r="D33" s="2" t="inlineStr"/>
      <c r="E33" s="2" t="inlineStr"/>
      <c r="F33" s="2" t="inlineStr"/>
      <c r="G33" s="2" t="inlineStr"/>
    </row>
    <row r="34">
      <c r="A34" s="2" t="inlineStr"/>
      <c r="B34" s="2" t="inlineStr">
        <is>
          <t>Schmidt Sciences - Maarten Sap</t>
        </is>
      </c>
      <c r="C34" s="2" t="inlineStr">
        <is>
          <t>https://www.schmidtsciences.org/grantee/maarten-sap/</t>
        </is>
      </c>
      <c r="D34" s="2" t="inlineStr"/>
      <c r="E34" s="2" t="inlineStr"/>
      <c r="F34" s="2" t="inlineStr"/>
      <c r="G34" s="2" t="inlineStr"/>
    </row>
  </sheetData>
  <autoFilter ref="A1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  <col width="28" customWidth="1" min="3" max="3"/>
  </cols>
  <sheetData>
    <row r="1">
      <c r="A1" s="4" t="inlineStr">
        <is>
          <t>Question</t>
        </is>
      </c>
      <c r="B1" s="4" t="inlineStr">
        <is>
          <t>Why it emerged</t>
        </is>
      </c>
      <c r="C1" s="4" t="inlineStr">
        <is>
          <t>Status</t>
        </is>
      </c>
    </row>
    <row r="2">
      <c r="A2" s="2" t="inlineStr">
        <is>
          <t>Does evidentiary strength increase as evaluations move from model-only QA to agent/tool/human/physical configurations?</t>
        </is>
      </c>
      <c r="B2" s="2" t="inlineStr">
        <is>
          <t>The pilot spans static QA, agentic in-silico, human+AI, and wet-lab execution.</t>
        </is>
      </c>
      <c r="C2" s="2" t="inlineStr">
        <is>
          <t>Hypothesis to test; not a finding</t>
        </is>
      </c>
    </row>
    <row r="3">
      <c r="A3" s="2" t="inlineStr">
        <is>
          <t>Where does the largest claim-demonstration gap occur?</t>
        </is>
      </c>
      <c r="B3" s="2" t="inlineStr">
        <is>
          <t>Several studies infer downstream security relevance from bounded proxy measurements.</t>
        </is>
      </c>
      <c r="C3" s="2" t="inlineStr">
        <is>
          <t>Open</t>
        </is>
      </c>
    </row>
    <row r="4">
      <c r="A4" s="2" t="inlineStr">
        <is>
          <t>Do physical validations systematically revise conclusions from in-silico evaluations?</t>
        </is>
      </c>
      <c r="B4" s="2" t="inlineStr">
        <is>
          <t>NIST TEVV and wet-lab uplift cases suggest this can happen in either direction.</t>
        </is>
      </c>
      <c r="C4" s="2" t="inlineStr">
        <is>
          <t>Open</t>
        </is>
      </c>
    </row>
    <row r="5">
      <c r="A5" s="2" t="inlineStr">
        <is>
          <t>Are context/provenance variables more predictive of monitoring/detection than raw model capability?</t>
        </is>
      </c>
      <c r="B5" s="2" t="inlineStr">
        <is>
          <t>PUC preliminary monitoring results and database/metadata framing motivate this.</t>
        </is>
      </c>
      <c r="C5" s="2" t="inlineStr">
        <is>
          <t>Open</t>
        </is>
      </c>
    </row>
    <row r="6">
      <c r="A6" s="2" t="inlineStr">
        <is>
          <t>Which workflow stages are repeatedly measured, and which are sparse?</t>
        </is>
      </c>
      <c r="B6" s="2" t="inlineStr">
        <is>
          <t>Static knowledge and model-response safeguards are common; physical and longitudinal stages appear rarer in the pilot.</t>
        </is>
      </c>
      <c r="C6" s="2" t="inlineStr">
        <is>
          <t>Open</t>
        </is>
      </c>
    </row>
    <row r="7">
      <c r="A7" s="2" t="inlineStr">
        <is>
          <t>Does adding tools increase capability uniformly, or depend on workflow policy and evaluation depth?</t>
        </is>
      </c>
      <c r="B7" s="2" t="inlineStr">
        <is>
          <t>BioDesignBench and ABC-Bench suggest configuration and behavior matter.</t>
        </is>
      </c>
      <c r="C7" s="2" t="inlineStr">
        <is>
          <t>Open</t>
        </is>
      </c>
    </row>
    <row r="8">
      <c r="A8" s="2" t="inlineStr">
        <is>
          <t>Do safeguard metrics track the actual property they are intended to secure?</t>
        </is>
      </c>
      <c r="B8" s="2" t="inlineStr">
        <is>
          <t>RefusalBench shows overall refusal rate can misrank tier discrimination.</t>
        </is>
      </c>
      <c r="C8" s="2" t="inlineStr">
        <is>
          <t>Open</t>
        </is>
      </c>
    </row>
    <row r="9">
      <c r="A9" s="2" t="inlineStr">
        <is>
          <t>What relational properties distinguish perturbations that propagate from those that are buffered?</t>
        </is>
      </c>
      <c r="B9" s="2" t="inlineStr">
        <is>
          <t>Trajectory set now codes feedback, reversibility, attribution, intervention, and recovery.</t>
        </is>
      </c>
      <c r="C9" s="2" t="inlineStr">
        <is>
          <t>Core Set 3 question</t>
        </is>
      </c>
    </row>
    <row r="10">
      <c r="A10" s="2" t="inlineStr">
        <is>
          <t>How often does feedback exist without producing update/learning?</t>
        </is>
      </c>
      <c r="B10" s="2" t="inlineStr">
        <is>
          <t>A central relational hypothesis from the broader research program; Set 3 now makes it observable.</t>
        </is>
      </c>
      <c r="C10" s="2" t="inlineStr">
        <is>
          <t>Open</t>
        </is>
      </c>
    </row>
    <row r="11">
      <c r="A11" s="2" t="inlineStr">
        <is>
          <t>How does funder problem framing shape the constructs that later become benchmarks?</t>
        </is>
      </c>
      <c r="B11" s="2" t="inlineStr">
        <is>
          <t>Set 1 preserves RFP/problem frames as data rather than treating funder as metadata only.</t>
        </is>
      </c>
      <c r="C11" s="2" t="inlineStr">
        <is>
          <t>Cross-set question</t>
        </is>
      </c>
    </row>
    <row r="12">
      <c r="A12" t="inlineStr">
        <is>
          <t>Does feedback availability predict learning, or do interpretability and update capacity mediate the relationship?</t>
        </is>
      </c>
      <c r="B12" t="inlineStr">
        <is>
          <t>v1 review showed feedback and learning were conflated.</t>
        </is>
      </c>
      <c r="C12" t="inlineStr">
        <is>
          <t>New v1.1 cross-trajectory question</t>
        </is>
      </c>
    </row>
    <row r="13">
      <c r="A13" t="inlineStr">
        <is>
          <t>Does physical validation revise the direction or magnitude of conclusions from computational proxies?</t>
        </is>
      </c>
      <c r="B13" t="inlineStr">
        <is>
          <t>v1 review distinguishes physical involvement from physical validation.</t>
        </is>
      </c>
      <c r="C13" t="inlineStr">
        <is>
          <t>New v1.1 Set 2/3 question</t>
        </is>
      </c>
    </row>
    <row r="14">
      <c r="A14" t="inlineStr">
        <is>
          <t>How often do high construct-validity evaluations still have weak downstream security linkage?</t>
        </is>
      </c>
      <c r="B14" t="inlineStr">
        <is>
          <t>Pilot suggests task measurement quality and security relevance are separable.</t>
        </is>
      </c>
      <c r="C14" t="inlineStr">
        <is>
          <t>New v1.1 Set 1/2 question</t>
        </is>
      </c>
    </row>
    <row r="15">
      <c r="A15" t="inlineStr">
        <is>
          <t>Are apparent funder effects explained by problem framing, recipient networks, or evidence type?</t>
        </is>
      </c>
      <c r="B15" t="inlineStr">
        <is>
          <t>Funding ecosystem is overlapping; neutral analysis requires avoiding simple funder-to-bias attribution.</t>
        </is>
      </c>
      <c r="C15" t="inlineStr">
        <is>
          <t>New v1.1 Set 1 question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45" customWidth="1" min="3" max="3"/>
    <col width="45" customWidth="1" min="4" max="4"/>
    <col width="20" customWidth="1" min="5" max="5"/>
    <col width="16" customWidth="1" min="6" max="6"/>
  </cols>
  <sheetData>
    <row r="1">
      <c r="A1" s="6" t="inlineStr">
        <is>
          <t>Issue found in pilot</t>
        </is>
      </c>
      <c r="B1" s="6" t="inlineStr">
        <is>
          <t>Evidence from pilot</t>
        </is>
      </c>
      <c r="C1" s="6" t="inlineStr">
        <is>
          <t>v1.1 change</t>
        </is>
      </c>
      <c r="D1" s="6" t="inlineStr">
        <is>
          <t>Why it matters</t>
        </is>
      </c>
      <c r="E1" s="6" t="inlineStr">
        <is>
          <t>Applies to</t>
        </is>
      </c>
      <c r="F1" s="6" t="inlineStr">
        <is>
          <t>Status</t>
        </is>
      </c>
    </row>
    <row r="2">
      <c r="A2" s="2" t="inlineStr">
        <is>
          <t>Feedback was too coarse</t>
        </is>
      </c>
      <c r="B2" s="2" t="inlineStr">
        <is>
          <t>Set 3 cases contain feedback that is available but not necessarily interpretable or used to change behavior. T07 and T09 make this especially visible.</t>
        </is>
      </c>
      <c r="C2" s="2" t="inlineStr">
        <is>
          <t>Split into feedback_available, feedback_interpretable, update_capacity, update_observed.</t>
        </is>
      </c>
      <c r="D2" s="2" t="inlineStr">
        <is>
          <t>Prevents feedback from being treated as synonymous with learning.</t>
        </is>
      </c>
      <c r="E2" s="2" t="inlineStr">
        <is>
          <t>Set 3 + common spine</t>
        </is>
      </c>
      <c r="F2" s="2" t="inlineStr">
        <is>
          <t>Adopted</t>
        </is>
      </c>
    </row>
    <row r="3">
      <c r="A3" s="2" t="inlineStr">
        <is>
          <t>Physical involvement was conflated with physical validation</t>
        </is>
      </c>
      <c r="B3" s="2" t="inlineStr">
        <is>
          <t>Some evaluations contain a physical component; others use physical outcomes specifically to test an upstream digital claim.</t>
        </is>
      </c>
      <c r="C3" s="2" t="inlineStr">
        <is>
          <t>Add physical_involvement and physical_validation_role.</t>
        </is>
      </c>
      <c r="D3" s="2" t="inlineStr">
        <is>
          <t>A wet-lab step alone does not establish that the proxy or security claim was physically validated.</t>
        </is>
      </c>
      <c r="E3" s="2" t="inlineStr">
        <is>
          <t>Set 2 / Set 3</t>
        </is>
      </c>
      <c r="F3" s="2" t="inlineStr">
        <is>
          <t>Adopted</t>
        </is>
      </c>
    </row>
    <row r="4">
      <c r="A4" s="2" t="inlineStr">
        <is>
          <t>Construct and proxy were not consistently separated</t>
        </is>
      </c>
      <c r="B4" s="2" t="inlineStr">
        <is>
          <t>LAB-Bench and VCT target practical research/troubleshooting capability but measure QA performance; RefusalBench targets calibration while measuring response behavior.</t>
        </is>
      </c>
      <c r="C4" s="2" t="inlineStr">
        <is>
          <t>Separate target_construct, operational_proxy, endpoint.</t>
        </is>
      </c>
      <c r="D4" s="2" t="inlineStr">
        <is>
          <t>Allows direct analysis of proxy-target decoupling.</t>
        </is>
      </c>
      <c r="E4" s="2" t="inlineStr">
        <is>
          <t>Set 1 / Set 2</t>
        </is>
      </c>
      <c r="F4" s="2" t="inlineStr">
        <is>
          <t>Adopted</t>
        </is>
      </c>
    </row>
    <row r="5">
      <c r="A5" s="2" t="inlineStr">
        <is>
          <t>Validity labels mixed evidence with judgment</t>
        </is>
      </c>
      <c r="B5" s="2" t="inlineStr">
        <is>
          <t>High/moderate labels were often accompanied by reasons, making inter-coder replication difficult.</t>
        </is>
      </c>
      <c r="C5" s="2" t="inlineStr">
        <is>
          <t>Separate validity_evidence from validity_assessment for construct, ecological and predictive validity.</t>
        </is>
      </c>
      <c r="D5" s="2" t="inlineStr">
        <is>
          <t>Makes the factual basis auditable and the judgment revisable.</t>
        </is>
      </c>
      <c r="E5" s="2" t="inlineStr">
        <is>
          <t>Set 2</t>
        </is>
      </c>
      <c r="F5" s="2" t="inlineStr">
        <is>
          <t>Adopted</t>
        </is>
      </c>
    </row>
    <row r="6">
      <c r="A6" s="2" t="inlineStr">
        <is>
          <t>Detection, correction and recovery were distinct but not always represented as stages</t>
        </is>
      </c>
      <c r="B6" s="2" t="inlineStr">
        <is>
          <t>Trajectories can be detected without attribution, corrected without recovery, or interrupted without system learning.</t>
        </is>
      </c>
      <c r="C6" s="2" t="inlineStr">
        <is>
          <t>Retain separate detection/attribution/intervention/recovery fields and add control_effect and learning_level.</t>
        </is>
      </c>
      <c r="D6" s="2" t="inlineStr">
        <is>
          <t>Supports mechanistic comparison of resilient vs propagating trajectories.</t>
        </is>
      </c>
      <c r="E6" s="2" t="inlineStr">
        <is>
          <t>Set 3</t>
        </is>
      </c>
      <c r="F6" s="2" t="inlineStr">
        <is>
          <t>Adopted</t>
        </is>
      </c>
    </row>
    <row r="7">
      <c r="A7" s="2" t="inlineStr">
        <is>
          <t>System-level learning was ambiguous</t>
        </is>
      </c>
      <c r="B7" s="2" t="inlineStr">
        <is>
          <t>T07 attack interruption demonstrates buffering; incident-level organizational learning is not demonstrated by the same event.</t>
        </is>
      </c>
      <c r="C7" s="2" t="inlineStr">
        <is>
          <t>Add learning_level: none / actor / workflow / evaluator / organization / research-program; require evidence.</t>
        </is>
      </c>
      <c r="D7" s="2" t="inlineStr">
        <is>
          <t>Avoids calling a successful control action evidence of learning.</t>
        </is>
      </c>
      <c r="E7" s="2" t="inlineStr">
        <is>
          <t>Set 3</t>
        </is>
      </c>
      <c r="F7" s="2" t="inlineStr">
        <is>
          <t>Adopted</t>
        </is>
      </c>
    </row>
    <row r="8">
      <c r="A8" s="2" t="inlineStr">
        <is>
          <t>Boundary sensitivity needs a reason, not just a rating</t>
        </is>
      </c>
      <c r="B8" s="2" t="inlineStr">
        <is>
          <t>Several Set 2 records were simply coded High/Moderate.</t>
        </is>
      </c>
      <c r="C8" s="2" t="inlineStr">
        <is>
          <t>Split boundary_sensitivity_assessment and boundary_sensitivity_reason.</t>
        </is>
      </c>
      <c r="D8" s="2" t="inlineStr">
        <is>
          <t>Makes system-boundary claims interpretable and comparable.</t>
        </is>
      </c>
      <c r="E8" s="2" t="inlineStr">
        <is>
          <t>All sets</t>
        </is>
      </c>
      <c r="F8" s="2" t="inlineStr">
        <is>
          <t>Adopted</t>
        </is>
      </c>
    </row>
    <row r="9">
      <c r="A9" s="2" t="inlineStr">
        <is>
          <t>Configuration categories were too free-text</t>
        </is>
      </c>
      <c r="B9" s="2" t="inlineStr">
        <is>
          <t>Pilot spans QA, model+tools, human+AI, agentic in-silico and physical execution.</t>
        </is>
      </c>
      <c r="C9" s="2" t="inlineStr">
        <is>
          <t>Add standardized configuration_class plus configuration_detail.</t>
        </is>
      </c>
      <c r="D9" s="2" t="inlineStr">
        <is>
          <t>Enables cross-case analysis without losing nuance.</t>
        </is>
      </c>
      <c r="E9" s="2" t="inlineStr">
        <is>
          <t>Set 1 / Set 2</t>
        </is>
      </c>
      <c r="F9" s="2" t="inlineStr">
        <is>
          <t>Adopted</t>
        </is>
      </c>
    </row>
    <row r="10">
      <c r="A10" s="2" t="inlineStr">
        <is>
          <t>Security linkage compressed multiple inferential steps</t>
        </is>
      </c>
      <c r="B10" s="2" t="inlineStr">
        <is>
          <t>A benchmark can validly measure a task while the link from task to consequential security remains indirect.</t>
        </is>
      </c>
      <c r="C10" s="2" t="inlineStr">
        <is>
          <t>Add security_linkage_target and security_linkage_evidence; retain theory-of-change chain.</t>
        </is>
      </c>
      <c r="D10" s="2" t="inlineStr">
        <is>
          <t>Separates good measurement science from downstream security extrapolation.</t>
        </is>
      </c>
      <c r="E10" s="2" t="inlineStr">
        <is>
          <t>Set 1 / Set 2</t>
        </is>
      </c>
      <c r="F10" s="2" t="inlineStr">
        <is>
          <t>Adopted</t>
        </is>
      </c>
    </row>
    <row r="11">
      <c r="A11" s="2" t="inlineStr">
        <is>
          <t>Funding context needs neutral treatment of institutional interests</t>
        </is>
      </c>
      <c r="B11" s="2" t="inlineStr">
        <is>
          <t>Initial question includes whether funder/author ecosystem has a substantive prior or conflict. Funding attribution alone cannot answer that.</t>
        </is>
      </c>
      <c r="C11" s="2" t="inlineStr">
        <is>
          <t>Add institutional_mission_context, disclosed_competing_interests, and cofunding_network; do not infer bias from affiliation.</t>
        </is>
      </c>
      <c r="D11" s="2" t="inlineStr">
        <is>
          <t>Allows transparent ecosystem analysis without converting mission alignment into a bias score.</t>
        </is>
      </c>
      <c r="E11" s="2" t="inlineStr">
        <is>
          <t>Set 1</t>
        </is>
      </c>
      <c r="F11" s="2" t="inlineStr">
        <is>
          <t>Adopted</t>
        </is>
      </c>
    </row>
    <row r="12">
      <c r="A12" s="2" t="inlineStr">
        <is>
          <t>One pilot row was structurally shifted</t>
        </is>
      </c>
      <c r="B12" s="2" t="inlineStr">
        <is>
          <t>Set 2 E10 fields from construct onward were offset, placing context text under security linkage.</t>
        </is>
      </c>
      <c r="C12" s="2" t="inlineStr">
        <is>
          <t>Correct E10 from primary article and add data-integrity check note.</t>
        </is>
      </c>
      <c r="D12" s="2" t="inlineStr">
        <is>
          <t>Prevents schema conclusions from being driven by a transcription error.</t>
        </is>
      </c>
      <c r="E12" s="2" t="inlineStr">
        <is>
          <t>Set 2</t>
        </is>
      </c>
      <c r="F12" s="2" t="inlineStr">
        <is>
          <t>Corrected</t>
        </is>
      </c>
    </row>
    <row r="13">
      <c r="A13" s="2" t="inlineStr">
        <is>
          <t>Some trajectory records are measurement trajectories rather than operational failures</t>
        </is>
      </c>
      <c r="B13" s="2" t="inlineStr">
        <is>
          <t>T08 and T10 concern monitoring/metric interpretation, not biological operational failures.</t>
        </is>
      </c>
      <c r="C13" s="2" t="inlineStr">
        <is>
          <t>Add trajectory_class.</t>
        </is>
      </c>
      <c r="D13" s="2" t="inlineStr">
        <is>
          <t>Allows stratified analysis instead of treating all trajectories as equivalent.</t>
        </is>
      </c>
      <c r="E13" s="2" t="inlineStr">
        <is>
          <t>Set 3</t>
        </is>
      </c>
      <c r="F13" s="2" t="inlineStr">
        <is>
          <t>Adopted</t>
        </is>
      </c>
    </row>
  </sheetData>
  <autoFilter ref="A1:F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30A0"/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Field</t>
        </is>
      </c>
      <c r="B1" s="6" t="inlineStr">
        <is>
          <t>Definition</t>
        </is>
      </c>
    </row>
    <row r="2">
      <c r="A2" s="2" t="inlineStr">
        <is>
          <t>record_id</t>
        </is>
      </c>
      <c r="B2" s="2" t="inlineStr">
        <is>
          <t>Unique record identifier</t>
        </is>
      </c>
    </row>
    <row r="3">
      <c r="A3" s="2" t="inlineStr">
        <is>
          <t>set</t>
        </is>
      </c>
      <c r="B3" s="2" t="inlineStr">
        <is>
          <t>Set 1 Funding / Set 2 Evaluation / Set 3 Trajectory</t>
        </is>
      </c>
    </row>
    <row r="4">
      <c r="A4" s="2" t="inlineStr">
        <is>
          <t>source_artifact</t>
        </is>
      </c>
      <c r="B4" s="2" t="inlineStr">
        <is>
          <t>Primary paper/report/RFP/benchmark/incident artifact</t>
        </is>
      </c>
    </row>
    <row r="5">
      <c r="A5" s="2" t="inlineStr">
        <is>
          <t>source_date</t>
        </is>
      </c>
      <c r="B5" s="2" t="inlineStr">
        <is>
          <t>Publication or artifact date/version</t>
        </is>
      </c>
    </row>
    <row r="6">
      <c r="A6" s="2" t="inlineStr">
        <is>
          <t>system_boundary</t>
        </is>
      </c>
      <c r="B6" s="2" t="inlineStr">
        <is>
          <t>Components and processes included/excluded</t>
        </is>
      </c>
    </row>
    <row r="7">
      <c r="A7" s="2" t="inlineStr">
        <is>
          <t>components</t>
        </is>
      </c>
      <c r="B7" s="2" t="inlineStr">
        <is>
          <t>Actors, models, tools, data, organizations, physical processes</t>
        </is>
      </c>
    </row>
    <row r="8">
      <c r="A8" s="2" t="inlineStr">
        <is>
          <t>relationships_interfaces</t>
        </is>
      </c>
      <c r="B8" s="2" t="inlineStr">
        <is>
          <t>Interfaces linking components</t>
        </is>
      </c>
    </row>
    <row r="9">
      <c r="A9" s="2" t="inlineStr">
        <is>
          <t>flow</t>
        </is>
      </c>
      <c r="B9" s="2" t="inlineStr">
        <is>
          <t>Information, context, authority, decision, code, material, etc. crossing interfaces</t>
        </is>
      </c>
    </row>
    <row r="10">
      <c r="A10" s="2" t="inlineStr">
        <is>
          <t>target_construct</t>
        </is>
      </c>
      <c r="B10" s="2" t="inlineStr">
        <is>
          <t>Property the observation is intended to illuminate</t>
        </is>
      </c>
    </row>
    <row r="11">
      <c r="A11" s="2" t="inlineStr">
        <is>
          <t>operational_proxy</t>
        </is>
      </c>
      <c r="B11" s="2" t="inlineStr">
        <is>
          <t>Observable used as a stand-in for the target construct, if any</t>
        </is>
      </c>
    </row>
    <row r="12">
      <c r="A12" s="2" t="inlineStr">
        <is>
          <t>measurement_or_perturbation</t>
        </is>
      </c>
      <c r="B12" s="2" t="inlineStr">
        <is>
          <t>What is measured or deliberately changed</t>
        </is>
      </c>
    </row>
    <row r="13">
      <c r="A13" s="2" t="inlineStr">
        <is>
          <t>observed_outcome</t>
        </is>
      </c>
      <c r="B13" s="2" t="inlineStr">
        <is>
          <t>Directly observed result</t>
        </is>
      </c>
    </row>
    <row r="14">
      <c r="A14" s="2" t="inlineStr">
        <is>
          <t>security_inference</t>
        </is>
      </c>
      <c r="B14" s="2" t="inlineStr">
        <is>
          <t>Security/safety implication claimed or inferred</t>
        </is>
      </c>
    </row>
    <row r="15">
      <c r="A15" s="2" t="inlineStr">
        <is>
          <t>security_linkage_evidence</t>
        </is>
      </c>
      <c r="B15" s="2" t="inlineStr">
        <is>
          <t>Evidence connecting observed result to the security inference</t>
        </is>
      </c>
    </row>
    <row r="16">
      <c r="A16" s="2" t="inlineStr">
        <is>
          <t>evidence_level</t>
        </is>
      </c>
      <c r="B16" s="2" t="inlineStr">
        <is>
          <t>Demonstrated / externally supported / author-inferred / assumed / unknown</t>
        </is>
      </c>
    </row>
    <row r="17">
      <c r="A17" s="2" t="inlineStr">
        <is>
          <t>provenance_type</t>
        </is>
      </c>
      <c r="B17" s="2" t="inlineStr">
        <is>
          <t>Direct source / author claim / our inference / unknown</t>
        </is>
      </c>
    </row>
    <row r="18">
      <c r="A18" s="2" t="inlineStr">
        <is>
          <t>claim_demonstration_gap</t>
        </is>
      </c>
      <c r="B18" s="2" t="inlineStr">
        <is>
          <t>Where the claim extends beyond the direct finding</t>
        </is>
      </c>
    </row>
    <row r="19">
      <c r="A19" s="2" t="inlineStr">
        <is>
          <t>configuration_class</t>
        </is>
      </c>
      <c r="B19" s="2" t="inlineStr">
        <is>
          <t>Standardized: model-only / model+tools / human+AI / agentic / physical / deployed</t>
        </is>
      </c>
    </row>
    <row r="20">
      <c r="A20" s="2" t="inlineStr">
        <is>
          <t>configuration_detail</t>
        </is>
      </c>
      <c r="B20" s="2" t="inlineStr">
        <is>
          <t>Case-specific configuration detail</t>
        </is>
      </c>
    </row>
    <row r="21">
      <c r="A21" s="2" t="inlineStr">
        <is>
          <t>boundary_sensitivity_assessment</t>
        </is>
      </c>
      <c r="B21" s="2" t="inlineStr">
        <is>
          <t>Low / moderate / high / unknown</t>
        </is>
      </c>
    </row>
    <row r="22">
      <c r="A22" s="2" t="inlineStr">
        <is>
          <t>boundary_sensitivity_reason</t>
        </is>
      </c>
      <c r="B22" s="2" t="inlineStr">
        <is>
          <t>Why expanding or contracting the boundary could alter the conclusion</t>
        </is>
      </c>
    </row>
    <row r="23">
      <c r="A23" s="2" t="inlineStr">
        <is>
          <t>context_metadata_provenance</t>
        </is>
      </c>
      <c r="B23" s="2" t="inlineStr">
        <is>
          <t>Context/provenance preserved, lost, required or unavailable</t>
        </is>
      </c>
    </row>
    <row r="24">
      <c r="A24" s="2" t="inlineStr">
        <is>
          <t>authority_control</t>
        </is>
      </c>
      <c r="B24" s="2" t="inlineStr">
        <is>
          <t>Where permission, decision authority or control resides/moves</t>
        </is>
      </c>
    </row>
    <row r="25">
      <c r="A25" s="2" t="inlineStr">
        <is>
          <t>physical_involvement</t>
        </is>
      </c>
      <c r="B25" s="2" t="inlineStr">
        <is>
          <t>None / simulated / physical step / deployed physical system</t>
        </is>
      </c>
    </row>
    <row r="26">
      <c r="A26" s="2" t="inlineStr">
        <is>
          <t>physical_validation_role</t>
        </is>
      </c>
      <c r="B26" s="2" t="inlineStr">
        <is>
          <t>None / endpoint only / validates upstream claim / iterative feedback / other</t>
        </is>
      </c>
    </row>
    <row r="27">
      <c r="A27" s="2" t="inlineStr">
        <is>
          <t>downstream_lineage</t>
        </is>
      </c>
      <c r="B27" s="2" t="inlineStr">
        <is>
          <t>Subsequent use, adoption, policy, model card, benchmark or follow-on work</t>
        </is>
      </c>
    </row>
    <row r="28">
      <c r="A28" s="2" t="inlineStr">
        <is>
          <t>canonical_url</t>
        </is>
      </c>
      <c r="B28" s="2" t="inlineStr">
        <is>
          <t>Primary source URL</t>
        </is>
      </c>
    </row>
    <row r="29">
      <c r="A29" s="2" t="inlineStr">
        <is>
          <t>full_text_url</t>
        </is>
      </c>
      <c r="B29" s="2" t="inlineStr">
        <is>
          <t>Direct full-text URL when public</t>
        </is>
      </c>
    </row>
    <row r="30">
      <c r="A30" s="2" t="inlineStr">
        <is>
          <t>local_archive_status</t>
        </is>
      </c>
      <c r="B30" s="2" t="inlineStr">
        <is>
          <t>Locally archived / canonical link only / restricted / unavailable</t>
        </is>
      </c>
    </row>
    <row r="31">
      <c r="A31" s="2" t="inlineStr">
        <is>
          <t>emergent_observation</t>
        </is>
      </c>
      <c r="B31" s="2" t="inlineStr">
        <is>
          <t>Important feature not captured cleanly by schema</t>
        </is>
      </c>
    </row>
  </sheetData>
  <autoFilter ref="A1:B3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30A0"/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s="6" t="inlineStr">
        <is>
          <t>Set 1 Field</t>
        </is>
      </c>
      <c r="B1" s="6" t="inlineStr">
        <is>
          <t>Definition</t>
        </is>
      </c>
    </row>
    <row r="2">
      <c r="A2" s="2" t="inlineStr">
        <is>
          <t>funder</t>
        </is>
      </c>
      <c r="B2" s="2" t="inlineStr">
        <is>
          <t>Funding organization(s)</t>
        </is>
      </c>
    </row>
    <row r="3">
      <c r="A3" s="2" t="inlineStr">
        <is>
          <t>program_rfp</t>
        </is>
      </c>
      <c r="B3" s="2" t="inlineStr">
        <is>
          <t>Program, RFP, or grant mechanism</t>
        </is>
      </c>
    </row>
    <row r="4">
      <c r="A4" s="2" t="inlineStr">
        <is>
          <t>award_year</t>
        </is>
      </c>
      <c r="B4" s="2" t="inlineStr">
        <is>
          <t>Year</t>
        </is>
      </c>
    </row>
    <row r="5">
      <c r="A5" s="2" t="inlineStr">
        <is>
          <t>recipient</t>
        </is>
      </c>
      <c r="B5" s="2" t="inlineStr">
        <is>
          <t>Recipient</t>
        </is>
      </c>
    </row>
    <row r="6">
      <c r="A6" s="2" t="inlineStr">
        <is>
          <t>funding_attribution_strength</t>
        </is>
      </c>
      <c r="B6" s="2" t="inlineStr">
        <is>
          <t>Direct project-specific / co-funded / general organizational / infrastructure / unclear</t>
        </is>
      </c>
    </row>
    <row r="7">
      <c r="A7" s="2" t="inlineStr">
        <is>
          <t>cofunding_network</t>
        </is>
      </c>
      <c r="B7" s="2" t="inlineStr">
        <is>
          <t>Other funders/support explicitly tied to project or organization</t>
        </is>
      </c>
    </row>
    <row r="8">
      <c r="A8" s="2" t="inlineStr">
        <is>
          <t>institutional_mission_context</t>
        </is>
      </c>
      <c r="B8" s="2" t="inlineStr">
        <is>
          <t>Relevant stated mission/problem orientation of funder or research organization; descriptive, not a bias score</t>
        </is>
      </c>
    </row>
    <row r="9">
      <c r="A9" s="2" t="inlineStr">
        <is>
          <t>disclosed_competing_interests</t>
        </is>
      </c>
      <c r="B9" s="2" t="inlineStr">
        <is>
          <t>Conflicts/interests disclosed by source; unknown if not reported</t>
        </is>
      </c>
    </row>
    <row r="10">
      <c r="A10" s="2" t="inlineStr">
        <is>
          <t>funder_problem_frame</t>
        </is>
      </c>
      <c r="B10" s="2" t="inlineStr">
        <is>
          <t>How funder/RFP frames threat or scientific problem</t>
        </is>
      </c>
    </row>
    <row r="11">
      <c r="A11" s="2" t="inlineStr">
        <is>
          <t>research_question</t>
        </is>
      </c>
      <c r="B11" s="2" t="inlineStr">
        <is>
          <t>Primary research question</t>
        </is>
      </c>
    </row>
    <row r="12">
      <c r="A12" s="2" t="inlineStr">
        <is>
          <t>threat_harm</t>
        </is>
      </c>
      <c r="B12" s="2" t="inlineStr">
        <is>
          <t>Stated threat/harm</t>
        </is>
      </c>
    </row>
    <row r="13">
      <c r="A13" s="2" t="inlineStr">
        <is>
          <t>target_construct</t>
        </is>
      </c>
      <c r="B13" s="2" t="inlineStr">
        <is>
          <t>Security/safety construct intended to be understood</t>
        </is>
      </c>
    </row>
    <row r="14">
      <c r="A14" s="2" t="inlineStr">
        <is>
          <t>operational_proxy</t>
        </is>
      </c>
      <c r="B14" s="2" t="inlineStr">
        <is>
          <t>Measurement used to operationalize construct</t>
        </is>
      </c>
    </row>
    <row r="15">
      <c r="A15" s="2" t="inlineStr">
        <is>
          <t>evidence_type</t>
        </is>
      </c>
      <c r="B15" s="2" t="inlineStr">
        <is>
          <t>Benchmark, simulation, expert elicitation, human study, field data, wet lab, deployment, etc.</t>
        </is>
      </c>
    </row>
    <row r="16">
      <c r="A16" s="2" t="inlineStr">
        <is>
          <t>configuration_class</t>
        </is>
      </c>
      <c r="B16" s="2" t="inlineStr">
        <is>
          <t>Standardized configuration</t>
        </is>
      </c>
    </row>
    <row r="17">
      <c r="A17" s="2" t="inlineStr">
        <is>
          <t>configuration_detail</t>
        </is>
      </c>
      <c r="B17" s="2" t="inlineStr">
        <is>
          <t>Specific system setup</t>
        </is>
      </c>
    </row>
    <row r="18">
      <c r="A18" s="2" t="inlineStr">
        <is>
          <t>author_claim</t>
        </is>
      </c>
      <c r="B18" s="2" t="inlineStr">
        <is>
          <t>What authors/funder say result implies</t>
        </is>
      </c>
    </row>
    <row r="19">
      <c r="A19" s="2" t="inlineStr">
        <is>
          <t>direct_demonstration</t>
        </is>
      </c>
      <c r="B19" s="2" t="inlineStr">
        <is>
          <t>What study directly establishes</t>
        </is>
      </c>
    </row>
    <row r="20">
      <c r="A20" s="2" t="inlineStr">
        <is>
          <t>claim_demonstration_gap</t>
        </is>
      </c>
      <c r="B20" s="2" t="inlineStr">
        <is>
          <t>Where claim exceeds demonstration</t>
        </is>
      </c>
    </row>
    <row r="21">
      <c r="A21" s="2" t="inlineStr">
        <is>
          <t>validation_evidence</t>
        </is>
      </c>
      <c r="B21" s="2" t="inlineStr">
        <is>
          <t>Evidence supporting construct/ecological/predictive validity</t>
        </is>
      </c>
    </row>
    <row r="22">
      <c r="A22" s="2" t="inlineStr">
        <is>
          <t>security_linkage_target</t>
        </is>
      </c>
      <c r="B22" s="2" t="inlineStr">
        <is>
          <t>Downstream security outcome to which result is linked</t>
        </is>
      </c>
    </row>
    <row r="23">
      <c r="A23" s="2" t="inlineStr">
        <is>
          <t>security_linkage_evidence</t>
        </is>
      </c>
      <c r="B23" s="2" t="inlineStr">
        <is>
          <t>Evidence for that link</t>
        </is>
      </c>
    </row>
    <row r="24">
      <c r="A24" s="2" t="inlineStr">
        <is>
          <t>theory_of_change_chain</t>
        </is>
      </c>
      <c r="B24" s="2" t="inlineStr">
        <is>
          <t>Threat -&gt; construct -&gt; proxy -&gt; result -&gt; inferred risk/capability -&gt; intervention -&gt; expected security effect</t>
        </is>
      </c>
    </row>
    <row r="25">
      <c r="A25" s="2" t="inlineStr">
        <is>
          <t>arrow_evidence_codes</t>
        </is>
      </c>
      <c r="B25" s="2" t="inlineStr">
        <is>
          <t>Evidence status for each major arrow</t>
        </is>
      </c>
    </row>
  </sheetData>
  <autoFilter ref="A1:B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30A0"/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4" customWidth="1" min="2" max="2"/>
  </cols>
  <sheetData>
    <row r="1">
      <c r="A1" s="6" t="inlineStr">
        <is>
          <t>Set 2 Field</t>
        </is>
      </c>
      <c r="B1" s="6" t="inlineStr">
        <is>
          <t>Definition</t>
        </is>
      </c>
    </row>
    <row r="2">
      <c r="A2" s="2" t="inlineStr">
        <is>
          <t>evaluation</t>
        </is>
      </c>
      <c r="B2" s="2" t="inlineStr">
        <is>
          <t>Benchmark/study/evaluation name</t>
        </is>
      </c>
    </row>
    <row r="3">
      <c r="A3" s="2" t="inlineStr">
        <is>
          <t>capability_or_safeguard</t>
        </is>
      </c>
      <c r="B3" s="2" t="inlineStr">
        <is>
          <t>Biological capability, safeguard or risk-relevant construct</t>
        </is>
      </c>
    </row>
    <row r="4">
      <c r="A4" s="2" t="inlineStr">
        <is>
          <t>workflow_stage</t>
        </is>
      </c>
      <c r="B4" s="2" t="inlineStr">
        <is>
          <t>Where in biological workflow the evaluation sits</t>
        </is>
      </c>
    </row>
    <row r="5">
      <c r="A5" s="2" t="inlineStr">
        <is>
          <t>target_construct</t>
        </is>
      </c>
      <c r="B5" s="2" t="inlineStr">
        <is>
          <t>Property intended to be measured</t>
        </is>
      </c>
    </row>
    <row r="6">
      <c r="A6" s="2" t="inlineStr">
        <is>
          <t>operational_proxy</t>
        </is>
      </c>
      <c r="B6" s="2" t="inlineStr">
        <is>
          <t>Observable used to represent target construct</t>
        </is>
      </c>
    </row>
    <row r="7">
      <c r="A7" s="2" t="inlineStr">
        <is>
          <t>configuration_class</t>
        </is>
      </c>
      <c r="B7" s="2" t="inlineStr">
        <is>
          <t>Model-only / model+tools / human+AI / agentic / physical / deployed</t>
        </is>
      </c>
    </row>
    <row r="8">
      <c r="A8" s="2" t="inlineStr">
        <is>
          <t>configuration_detail</t>
        </is>
      </c>
      <c r="B8" s="2" t="inlineStr">
        <is>
          <t>Specific configuration</t>
        </is>
      </c>
    </row>
    <row r="9">
      <c r="A9" s="2" t="inlineStr">
        <is>
          <t>inputs_context</t>
        </is>
      </c>
      <c r="B9" s="2" t="inlineStr">
        <is>
          <t>Information/context available to system</t>
        </is>
      </c>
    </row>
    <row r="10">
      <c r="A10" s="2" t="inlineStr">
        <is>
          <t>outputs_actions</t>
        </is>
      </c>
      <c r="B10" s="2" t="inlineStr">
        <is>
          <t>Outputs/actions permitted</t>
        </is>
      </c>
    </row>
    <row r="11">
      <c r="A11" s="2" t="inlineStr">
        <is>
          <t>endpoint</t>
        </is>
      </c>
      <c r="B11" s="2" t="inlineStr">
        <is>
          <t>Primary measured endpoint</t>
        </is>
      </c>
    </row>
    <row r="12">
      <c r="A12" s="2" t="inlineStr">
        <is>
          <t>ground_truth_or_baseline</t>
        </is>
      </c>
      <c r="B12" s="2" t="inlineStr">
        <is>
          <t>Comparator or ground truth</t>
        </is>
      </c>
    </row>
    <row r="13">
      <c r="A13" s="2" t="inlineStr">
        <is>
          <t>evidence_type</t>
        </is>
      </c>
      <c r="B13" s="2" t="inlineStr">
        <is>
          <t>Static benchmark, agent eval, human experiment, wet lab, field observation, etc.</t>
        </is>
      </c>
    </row>
    <row r="14">
      <c r="A14" s="2" t="inlineStr">
        <is>
          <t>physical_involvement</t>
        </is>
      </c>
      <c r="B14" s="2" t="inlineStr">
        <is>
          <t>None / simulated / physical step / deployed physical system</t>
        </is>
      </c>
    </row>
    <row r="15">
      <c r="A15" s="2" t="inlineStr">
        <is>
          <t>physical_validation_role</t>
        </is>
      </c>
      <c r="B15" s="2" t="inlineStr">
        <is>
          <t>None / endpoint only / validates upstream claim / iterative feedback</t>
        </is>
      </c>
    </row>
    <row r="16">
      <c r="A16" s="2" t="inlineStr">
        <is>
          <t>construct_validity_evidence</t>
        </is>
      </c>
      <c r="B16" s="2" t="inlineStr">
        <is>
          <t>Direct evidence bearing on whether proxy represents construct</t>
        </is>
      </c>
    </row>
    <row r="17">
      <c r="A17" s="2" t="inlineStr">
        <is>
          <t>construct_validity_assessment</t>
        </is>
      </c>
      <c r="B17" s="2" t="inlineStr">
        <is>
          <t>Low / moderate / high / unknown, with uncertainty</t>
        </is>
      </c>
    </row>
    <row r="18">
      <c r="A18" s="2" t="inlineStr">
        <is>
          <t>ecological_validity_evidence</t>
        </is>
      </c>
      <c r="B18" s="2" t="inlineStr">
        <is>
          <t>Evidence about similarity to relevant real setting</t>
        </is>
      </c>
    </row>
    <row r="19">
      <c r="A19" s="2" t="inlineStr">
        <is>
          <t>ecological_validity_assessment</t>
        </is>
      </c>
      <c r="B19" s="2" t="inlineStr">
        <is>
          <t>Low / moderate / high / unknown</t>
        </is>
      </c>
    </row>
    <row r="20">
      <c r="A20" s="2" t="inlineStr">
        <is>
          <t>predictive_validity_evidence</t>
        </is>
      </c>
      <c r="B20" s="2" t="inlineStr">
        <is>
          <t>Evidence endpoint predicts downstream behavior/outcomes</t>
        </is>
      </c>
    </row>
    <row r="21">
      <c r="A21" s="2" t="inlineStr">
        <is>
          <t>predictive_validity_assessment</t>
        </is>
      </c>
      <c r="B21" s="2" t="inlineStr">
        <is>
          <t>Low / moderate / high / unknown</t>
        </is>
      </c>
    </row>
    <row r="22">
      <c r="A22" s="2" t="inlineStr">
        <is>
          <t>security_linkage_target</t>
        </is>
      </c>
      <c r="B22" s="2" t="inlineStr">
        <is>
          <t>Specific security outcome the evaluation is meant to inform</t>
        </is>
      </c>
    </row>
    <row r="23">
      <c r="A23" s="2" t="inlineStr">
        <is>
          <t>security_linkage_evidence</t>
        </is>
      </c>
      <c r="B23" s="2" t="inlineStr">
        <is>
          <t>Evidence connecting evaluation result to that outcome</t>
        </is>
      </c>
    </row>
    <row r="24">
      <c r="A24" s="2" t="inlineStr">
        <is>
          <t>context_provenance</t>
        </is>
      </c>
      <c r="B24" s="2" t="inlineStr">
        <is>
          <t>Metadata/provenance available across handoffs</t>
        </is>
      </c>
    </row>
    <row r="25">
      <c r="A25" s="2" t="inlineStr">
        <is>
          <t>boundary_sensitivity_assessment</t>
        </is>
      </c>
      <c r="B25" s="2" t="inlineStr">
        <is>
          <t>Low / moderate / high / unknown</t>
        </is>
      </c>
    </row>
    <row r="26">
      <c r="A26" s="2" t="inlineStr">
        <is>
          <t>boundary_sensitivity_reason</t>
        </is>
      </c>
      <c r="B26" s="2" t="inlineStr">
        <is>
          <t>How conclusion might change with humans/tools/physical stages added</t>
        </is>
      </c>
    </row>
    <row r="27">
      <c r="A27" s="2" t="inlineStr">
        <is>
          <t>claim_demonstration_gap</t>
        </is>
      </c>
      <c r="B27" s="2" t="inlineStr">
        <is>
          <t>Difference between stated relevance and direct finding</t>
        </is>
      </c>
    </row>
  </sheetData>
  <autoFilter ref="A1:B2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30A0"/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4" customWidth="1" min="2" max="2"/>
  </cols>
  <sheetData>
    <row r="1">
      <c r="A1" s="6" t="inlineStr">
        <is>
          <t>Set 3 Field</t>
        </is>
      </c>
      <c r="B1" s="6" t="inlineStr">
        <is>
          <t>Definition</t>
        </is>
      </c>
    </row>
    <row r="2">
      <c r="A2" s="2" t="inlineStr">
        <is>
          <t>trajectory</t>
        </is>
      </c>
      <c r="B2" s="2" t="inlineStr">
        <is>
          <t>Observed or experimental event/sequence</t>
        </is>
      </c>
    </row>
    <row r="3">
      <c r="A3" s="2" t="inlineStr">
        <is>
          <t>trajectory_class</t>
        </is>
      </c>
      <c r="B3" s="2" t="inlineStr">
        <is>
          <t>Operational failure / safeguard encounter / controlled perturbation / measurement trajectory / recovery trajectory / other</t>
        </is>
      </c>
    </row>
    <row r="4">
      <c r="A4" s="2" t="inlineStr">
        <is>
          <t>initial_state</t>
        </is>
      </c>
      <c r="B4" s="2" t="inlineStr">
        <is>
          <t>Starting state/configuration</t>
        </is>
      </c>
    </row>
    <row r="5">
      <c r="A5" s="2" t="inlineStr">
        <is>
          <t>initiating_perturbation</t>
        </is>
      </c>
      <c r="B5" s="2" t="inlineStr">
        <is>
          <t>Change, error, attack, mismatch or experimental intervention</t>
        </is>
      </c>
    </row>
    <row r="6">
      <c r="A6" s="2" t="inlineStr">
        <is>
          <t>components</t>
        </is>
      </c>
      <c r="B6" s="2" t="inlineStr">
        <is>
          <t>Components involved</t>
        </is>
      </c>
    </row>
    <row r="7">
      <c r="A7" s="2" t="inlineStr">
        <is>
          <t>relationship_affected</t>
        </is>
      </c>
      <c r="B7" s="2" t="inlineStr">
        <is>
          <t>Specific interface where perturbation enters/is expressed</t>
        </is>
      </c>
    </row>
    <row r="8">
      <c r="A8" s="2" t="inlineStr">
        <is>
          <t>what_flows</t>
        </is>
      </c>
      <c r="B8" s="2" t="inlineStr">
        <is>
          <t>Information, authority, code, material, control action, etc.</t>
        </is>
      </c>
    </row>
    <row r="9">
      <c r="A9" s="2" t="inlineStr">
        <is>
          <t>sequence</t>
        </is>
      </c>
      <c r="B9" s="2" t="inlineStr">
        <is>
          <t>Ordered propagation path</t>
        </is>
      </c>
    </row>
    <row r="10">
      <c r="A10" s="2" t="inlineStr">
        <is>
          <t>first_divergence</t>
        </is>
      </c>
      <c r="B10" s="2" t="inlineStr">
        <is>
          <t>Earliest divergence from expected/baseline</t>
        </is>
      </c>
    </row>
    <row r="11">
      <c r="A11" s="2" t="inlineStr">
        <is>
          <t>amplification_points</t>
        </is>
      </c>
      <c r="B11" s="2" t="inlineStr">
        <is>
          <t>Where effect grows</t>
        </is>
      </c>
    </row>
    <row r="12">
      <c r="A12" s="2" t="inlineStr">
        <is>
          <t>buffering_points</t>
        </is>
      </c>
      <c r="B12" s="2" t="inlineStr">
        <is>
          <t>Where effect is reduced/stopped</t>
        </is>
      </c>
    </row>
    <row r="13">
      <c r="A13" s="2" t="inlineStr">
        <is>
          <t>detection</t>
        </is>
      </c>
      <c r="B13" s="2" t="inlineStr">
        <is>
          <t>How/when observed</t>
        </is>
      </c>
    </row>
    <row r="14">
      <c r="A14" s="2" t="inlineStr">
        <is>
          <t>attribution</t>
        </is>
      </c>
      <c r="B14" s="2" t="inlineStr">
        <is>
          <t>Can cause/source be located?</t>
        </is>
      </c>
    </row>
    <row r="15">
      <c r="A15" s="2" t="inlineStr">
        <is>
          <t>intervention</t>
        </is>
      </c>
      <c r="B15" s="2" t="inlineStr">
        <is>
          <t>Corrective/control action</t>
        </is>
      </c>
    </row>
    <row r="16">
      <c r="A16" s="2" t="inlineStr">
        <is>
          <t>control_effect</t>
        </is>
      </c>
      <c r="B16" s="2" t="inlineStr">
        <is>
          <t>Interrupted / reduced / redirected / corrected / no effect / unknown</t>
        </is>
      </c>
    </row>
    <row r="17">
      <c r="A17" s="2" t="inlineStr">
        <is>
          <t>reversibility</t>
        </is>
      </c>
      <c r="B17" s="2" t="inlineStr">
        <is>
          <t>Can action be undone before consequence?</t>
        </is>
      </c>
    </row>
    <row r="18">
      <c r="A18" s="2" t="inlineStr">
        <is>
          <t>recovery</t>
        </is>
      </c>
      <c r="B18" s="2" t="inlineStr">
        <is>
          <t>Did system return to viable/safe function?</t>
        </is>
      </c>
    </row>
    <row r="19">
      <c r="A19" s="2" t="inlineStr">
        <is>
          <t>feedback_available</t>
        </is>
      </c>
      <c r="B19" s="2" t="inlineStr">
        <is>
          <t>Did consequence/state information return to a relevant actor/component?</t>
        </is>
      </c>
    </row>
    <row r="20">
      <c r="A20" s="2" t="inlineStr">
        <is>
          <t>feedback_interpretable</t>
        </is>
      </c>
      <c r="B20" s="2" t="inlineStr">
        <is>
          <t>Was feedback understandable/actionable with available context?</t>
        </is>
      </c>
    </row>
    <row r="21">
      <c r="A21" s="2" t="inlineStr">
        <is>
          <t>update_capacity</t>
        </is>
      </c>
      <c r="B21" s="2" t="inlineStr">
        <is>
          <t>Could recipient/system alter model, policy, behavior or configuration?</t>
        </is>
      </c>
    </row>
    <row r="22">
      <c r="A22" s="2" t="inlineStr">
        <is>
          <t>update_observed</t>
        </is>
      </c>
      <c r="B22" s="2" t="inlineStr">
        <is>
          <t>Was an update actually observed?</t>
        </is>
      </c>
    </row>
    <row r="23">
      <c r="A23" s="2" t="inlineStr">
        <is>
          <t>learning_level</t>
        </is>
      </c>
      <c r="B23" s="2" t="inlineStr">
        <is>
          <t>None / actor / workflow / evaluator / organization / research-program</t>
        </is>
      </c>
    </row>
    <row r="24">
      <c r="A24" s="2" t="inlineStr">
        <is>
          <t>outcome</t>
        </is>
      </c>
      <c r="B24" s="2" t="inlineStr">
        <is>
          <t>Observed consequence</t>
        </is>
      </c>
    </row>
    <row r="25">
      <c r="A25" s="2" t="inlineStr">
        <is>
          <t>candidate_relational_variables</t>
        </is>
      </c>
      <c r="B25" s="2" t="inlineStr">
        <is>
          <t>Properties plausibly explanatory</t>
        </is>
      </c>
    </row>
    <row r="26">
      <c r="A26" s="2" t="inlineStr">
        <is>
          <t>physical_involvement</t>
        </is>
      </c>
      <c r="B26" s="2" t="inlineStr">
        <is>
          <t>None / simulated / physical step / deployed physical system</t>
        </is>
      </c>
    </row>
    <row r="27">
      <c r="A27" s="2" t="inlineStr">
        <is>
          <t>physical_validation_role</t>
        </is>
      </c>
      <c r="B27" s="2" t="inlineStr">
        <is>
          <t>None / endpoint only / validates upstream claim / iterative feedback</t>
        </is>
      </c>
    </row>
    <row r="28">
      <c r="A28" s="2" t="inlineStr">
        <is>
          <t>boundary_sensitivity_reason</t>
        </is>
      </c>
      <c r="B28" s="2" t="inlineStr">
        <is>
          <t>How system-boundary choice affects interpretation</t>
        </is>
      </c>
    </row>
    <row r="29">
      <c r="A29" s="2" t="inlineStr">
        <is>
          <t>evidence_level</t>
        </is>
      </c>
      <c r="B29" s="2" t="inlineStr">
        <is>
          <t>Demonstrated / externally supported / inferred / unknown</t>
        </is>
      </c>
    </row>
  </sheetData>
  <autoFilter ref="A1:B2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A6A6"/>
    <outlinePr summaryBelow="1" summaryRight="1"/>
    <pageSetUpPr/>
  </sheetPr>
  <dimension ref="A1:AJ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28" customWidth="1" min="4" max="4"/>
    <col width="32" customWidth="1" min="5" max="5"/>
    <col width="25" customWidth="1" min="6" max="6"/>
    <col width="32" customWidth="1" min="7" max="7"/>
    <col width="28" customWidth="1" min="8" max="8"/>
    <col width="18" customWidth="1" min="9" max="9"/>
    <col width="28" customWidth="1" min="10" max="10"/>
    <col width="35" customWidth="1" min="11" max="11"/>
    <col width="28" customWidth="1" min="12" max="12"/>
    <col width="28" customWidth="1" min="13" max="13"/>
    <col width="28" customWidth="1" min="14" max="14"/>
    <col width="25" customWidth="1" min="15" max="15"/>
    <col width="18" customWidth="1" min="16" max="16"/>
    <col width="24" customWidth="1" min="17" max="17"/>
    <col width="45" customWidth="1" min="18" max="18"/>
    <col width="45" customWidth="1" min="19" max="19"/>
    <col width="45" customWidth="1" min="20" max="20"/>
    <col width="18" customWidth="1" min="21" max="21"/>
    <col width="45" customWidth="1" min="22" max="22"/>
    <col width="18" customWidth="1" min="23" max="23"/>
    <col width="45" customWidth="1" min="24" max="24"/>
    <col width="18" customWidth="1" min="25" max="25"/>
    <col width="35" customWidth="1" min="26" max="26"/>
    <col width="45" customWidth="1" min="27" max="27"/>
    <col width="40" customWidth="1" min="28" max="28"/>
    <col width="18" customWidth="1" min="29" max="29"/>
    <col width="45" customWidth="1" min="30" max="30"/>
    <col width="45" customWidth="1" min="31" max="31"/>
    <col width="50" customWidth="1" min="32" max="32"/>
    <col width="35" customWidth="1" min="33" max="33"/>
    <col width="35" customWidth="1" min="34" max="34"/>
    <col width="24" customWidth="1" min="35" max="35"/>
    <col width="45" customWidth="1" min="36" max="36"/>
  </cols>
  <sheetData>
    <row r="1">
      <c r="A1" s="6" t="inlineStr">
        <is>
          <t>id</t>
        </is>
      </c>
      <c r="B1" s="6" t="inlineStr">
        <is>
          <t>evaluation</t>
        </is>
      </c>
      <c r="C1" s="6" t="inlineStr">
        <is>
          <t>year</t>
        </is>
      </c>
      <c r="D1" s="6" t="inlineStr">
        <is>
          <t>developers_authors</t>
        </is>
      </c>
      <c r="E1" s="6" t="inlineStr">
        <is>
          <t>capability_or_safeguard</t>
        </is>
      </c>
      <c r="F1" s="6" t="inlineStr">
        <is>
          <t>workflow_stage</t>
        </is>
      </c>
      <c r="G1" s="6" t="inlineStr">
        <is>
          <t>target_construct</t>
        </is>
      </c>
      <c r="H1" s="6" t="inlineStr">
        <is>
          <t>operational_proxy</t>
        </is>
      </c>
      <c r="I1" s="6" t="inlineStr">
        <is>
          <t>configuration_class</t>
        </is>
      </c>
      <c r="J1" s="6" t="inlineStr">
        <is>
          <t>configuration_detail</t>
        </is>
      </c>
      <c r="K1" s="6" t="inlineStr">
        <is>
          <t>inputs_context</t>
        </is>
      </c>
      <c r="L1" s="6" t="inlineStr">
        <is>
          <t>outputs_actions</t>
        </is>
      </c>
      <c r="M1" s="6" t="inlineStr">
        <is>
          <t>endpoint</t>
        </is>
      </c>
      <c r="N1" s="6" t="inlineStr">
        <is>
          <t>ground_truth_or_baseline</t>
        </is>
      </c>
      <c r="O1" s="6" t="inlineStr">
        <is>
          <t>evidence_type</t>
        </is>
      </c>
      <c r="P1" s="6" t="inlineStr">
        <is>
          <t>physical_involvement</t>
        </is>
      </c>
      <c r="Q1" s="6" t="inlineStr">
        <is>
          <t>physical_validation_role</t>
        </is>
      </c>
      <c r="R1" s="6" t="inlineStr">
        <is>
          <t>direct_demonstration</t>
        </is>
      </c>
      <c r="S1" s="6" t="inlineStr">
        <is>
          <t>claimed_biosecurity_relevance</t>
        </is>
      </c>
      <c r="T1" s="6" t="inlineStr">
        <is>
          <t>construct_validity_evidence</t>
        </is>
      </c>
      <c r="U1" s="6" t="inlineStr">
        <is>
          <t>construct_validity_assessment</t>
        </is>
      </c>
      <c r="V1" s="6" t="inlineStr">
        <is>
          <t>ecological_validity_evidence</t>
        </is>
      </c>
      <c r="W1" s="6" t="inlineStr">
        <is>
          <t>ecological_validity_assessment</t>
        </is>
      </c>
      <c r="X1" s="6" t="inlineStr">
        <is>
          <t>predictive_validity_evidence</t>
        </is>
      </c>
      <c r="Y1" s="6" t="inlineStr">
        <is>
          <t>predictive_validity_assessment</t>
        </is>
      </c>
      <c r="Z1" s="6" t="inlineStr">
        <is>
          <t>security_linkage_target</t>
        </is>
      </c>
      <c r="AA1" s="6" t="inlineStr">
        <is>
          <t>security_linkage_evidence</t>
        </is>
      </c>
      <c r="AB1" s="6" t="inlineStr">
        <is>
          <t>context_provenance</t>
        </is>
      </c>
      <c r="AC1" s="6" t="inlineStr">
        <is>
          <t>boundary_sensitivity_assessment</t>
        </is>
      </c>
      <c r="AD1" s="6" t="inlineStr">
        <is>
          <t>boundary_sensitivity_reason</t>
        </is>
      </c>
      <c r="AE1" s="6" t="inlineStr">
        <is>
          <t>claim_demonstration_gap</t>
        </is>
      </c>
      <c r="AF1" s="6" t="inlineStr">
        <is>
          <t>theory_chain</t>
        </is>
      </c>
      <c r="AG1" s="6" t="inlineStr">
        <is>
          <t>canonical_url</t>
        </is>
      </c>
      <c r="AH1" s="6" t="inlineStr">
        <is>
          <t>full_text_url</t>
        </is>
      </c>
      <c r="AI1" s="6" t="inlineStr">
        <is>
          <t>local_archive_status</t>
        </is>
      </c>
      <c r="AJ1" s="6" t="inlineStr">
        <is>
          <t>notes</t>
        </is>
      </c>
    </row>
    <row r="2">
      <c r="A2" s="2" t="inlineStr">
        <is>
          <t>E01</t>
        </is>
      </c>
      <c r="B2" s="2" t="inlineStr">
        <is>
          <t>LAB-Bench</t>
        </is>
      </c>
      <c r="C2" s="2" t="inlineStr">
        <is>
          <t>2024</t>
        </is>
      </c>
      <c r="D2" s="2" t="inlineStr">
        <is>
          <t>FutureHouse / Laurent et al.</t>
        </is>
      </c>
      <c r="E2" s="2" t="inlineStr">
        <is>
          <t>Practical biology research capability</t>
        </is>
      </c>
      <c r="F2" s="2" t="inlineStr">
        <is>
          <t>Literature, figures, databases, protocols, sequence reasoning</t>
        </is>
      </c>
      <c r="G2" s="2" t="inlineStr">
        <is>
          <t>Practical biology research assistance</t>
        </is>
      </c>
      <c r="H2" s="2" t="inlineStr">
        <is>
          <t>Accuracy by subtask</t>
        </is>
      </c>
      <c r="I2" s="2" t="inlineStr">
        <is>
          <t>model-only</t>
        </is>
      </c>
      <c r="J2" s="2" t="inlineStr">
        <is>
          <t>Model-only QA</t>
        </is>
      </c>
      <c r="K2" s="2" t="inlineStr">
        <is>
          <t>Curated biology questions; task-specific context</t>
        </is>
      </c>
      <c r="L2" s="2" t="inlineStr">
        <is>
          <t>Multiple-choice answers</t>
        </is>
      </c>
      <c r="M2" s="2" t="inlineStr">
        <is>
          <t>Accuracy by subtask</t>
        </is>
      </c>
      <c r="N2" s="2" t="inlineStr">
        <is>
          <t>Expert estimates / task-specific baselines</t>
        </is>
      </c>
      <c r="O2" s="2" t="inlineStr">
        <is>
          <t>Static benchmark</t>
        </is>
      </c>
      <c r="P2" s="2" t="inlineStr">
        <is>
          <t>none</t>
        </is>
      </c>
      <c r="Q2" s="2" t="inlineStr">
        <is>
          <t>none</t>
        </is>
      </c>
      <c r="R2" s="2" t="inlineStr">
        <is>
          <t>Measures performance on 2,400+ practical biology questions</t>
        </is>
      </c>
      <c r="S2" s="2" t="inlineStr">
        <is>
          <t>High performance may indicate useful biology research assistance and possible uplift</t>
        </is>
      </c>
      <c r="T2" s="2" t="inlineStr">
        <is>
          <t>Moderate: expert-curated practical tasks, but proxy remains QA</t>
        </is>
      </c>
      <c r="U2" s="2" t="inlineStr">
        <is>
          <t>moderate</t>
        </is>
      </c>
      <c r="V2" s="2" t="inlineStr">
        <is>
          <t>Low-moderate: no physical workflow</t>
        </is>
      </c>
      <c r="W2" s="2" t="inlineStr">
        <is>
          <t>low-moderate</t>
        </is>
      </c>
      <c r="X2" s="2" t="inlineStr">
        <is>
          <t>Unknown/limited</t>
        </is>
      </c>
      <c r="Y2" s="2" t="inlineStr">
        <is>
          <t>unknown</t>
        </is>
      </c>
      <c r="Z2" s="2" t="inlineStr">
        <is>
          <t>Biosecurity-relevant capability/safeguard performance and downstream consequential risk</t>
        </is>
      </c>
      <c r="AA2" s="2" t="inlineStr">
        <is>
          <t>Indirect: QA performance -&gt; research capability -&gt; misuse/benefit</t>
        </is>
      </c>
      <c r="AB2" s="2" t="inlineStr">
        <is>
          <t>Question context present; real experimental context absent</t>
        </is>
      </c>
      <c r="AC2" s="2" t="inlineStr">
        <is>
          <t>High</t>
        </is>
      </c>
      <c r="AD2" s="2" t="inlineStr">
        <is>
          <t>Adding or removing human, tool, physical-execution, or deployment stages could change how the measured endpoint maps to downstream capability or security.</t>
        </is>
      </c>
      <c r="AE2" s="2" t="inlineStr">
        <is>
          <t>Direct finding is bounded to the measured endpoint/configuration; broader biosecurity relevance requires additional inference.</t>
        </is>
      </c>
      <c r="AF2" s="2" t="inlineStr">
        <is>
          <t>Bio capability concern -&gt; practical knowledge proxy -&gt; benchmark accuracy -&gt; inferred research assistance -&gt; biosecurity relevance</t>
        </is>
      </c>
      <c r="AG2" s="2" t="inlineStr">
        <is>
          <t>https://arxiv.org/abs/2407.10362</t>
        </is>
      </c>
      <c r="AH2" s="2" t="inlineStr">
        <is>
          <t>https://arxiv.org/pdf/2407.10362</t>
        </is>
      </c>
      <c r="AI2" s="2" t="inlineStr">
        <is>
          <t>Canonical link captured</t>
        </is>
      </c>
      <c r="AJ2" s="2" t="inlineStr">
        <is>
          <t>Useful static baseline for comparison with agentic/wet-lab studies.</t>
        </is>
      </c>
    </row>
    <row r="3">
      <c r="A3" s="2" t="inlineStr">
        <is>
          <t>E02</t>
        </is>
      </c>
      <c r="B3" s="2" t="inlineStr">
        <is>
          <t>Virology Capabilities Test (VCT)</t>
        </is>
      </c>
      <c r="C3" s="2" t="inlineStr">
        <is>
          <t>2025</t>
        </is>
      </c>
      <c r="D3" s="2" t="inlineStr">
        <is>
          <t>SecureBio</t>
        </is>
      </c>
      <c r="E3" s="2" t="inlineStr">
        <is>
          <t>Tacit/practical virology troubleshooting knowledge</t>
        </is>
      </c>
      <c r="F3" s="2" t="inlineStr">
        <is>
          <t>Experimental troubleshooting / virology knowledge</t>
        </is>
      </c>
      <c r="G3" s="2" t="inlineStr">
        <is>
          <t>Hands-on virology troubleshooting capability</t>
        </is>
      </c>
      <c r="H3" s="2" t="inlineStr">
        <is>
          <t>Accuracy vs human experts</t>
        </is>
      </c>
      <c r="I3" s="2" t="inlineStr">
        <is>
          <t>model-only</t>
        </is>
      </c>
      <c r="J3" s="2" t="inlineStr">
        <is>
          <t>Model-only multimodal QA</t>
        </is>
      </c>
      <c r="K3" s="2" t="inlineStr">
        <is>
          <t>Expert-authored text/images, original micrographs/photos</t>
        </is>
      </c>
      <c r="L3" s="2" t="inlineStr">
        <is>
          <t>Answers to 322 multimodal questions</t>
        </is>
      </c>
      <c r="M3" s="2" t="inlineStr">
        <is>
          <t>Accuracy vs human experts</t>
        </is>
      </c>
      <c r="N3" s="2" t="inlineStr">
        <is>
          <t>Expert virologist baseline</t>
        </is>
      </c>
      <c r="O3" s="2" t="inlineStr">
        <is>
          <t>Static multimodal benchmark</t>
        </is>
      </c>
      <c r="P3" s="2" t="inlineStr">
        <is>
          <t>none</t>
        </is>
      </c>
      <c r="Q3" s="2" t="inlineStr">
        <is>
          <t>none</t>
        </is>
      </c>
      <c r="R3" s="2" t="inlineStr">
        <is>
          <t>Leading models can exceed average expert performance on benchmark questions</t>
        </is>
      </c>
      <c r="S3" s="2" t="inlineStr">
        <is>
          <t>Benchmark performance is treated as evidence relevant to model bio-risk assessment</t>
        </is>
      </c>
      <c r="T3" s="2" t="inlineStr">
        <is>
          <t>Moderate-high for knowledge construct; expert construction and baseline</t>
        </is>
      </c>
      <c r="U3" s="2" t="inlineStr">
        <is>
          <t>moderate-high</t>
        </is>
      </c>
      <c r="V3" s="2" t="inlineStr">
        <is>
          <t>Moderate-low: practical questions, no wet-lab execution</t>
        </is>
      </c>
      <c r="W3" s="2" t="inlineStr">
        <is>
          <t>low-moderate</t>
        </is>
      </c>
      <c r="X3" s="2" t="inlineStr">
        <is>
          <t>Unknown</t>
        </is>
      </c>
      <c r="Y3" s="2" t="inlineStr">
        <is>
          <t>unknown</t>
        </is>
      </c>
      <c r="Z3" s="2" t="inlineStr">
        <is>
          <t>Biosecurity-relevant capability/safeguard performance and downstream consequential risk</t>
        </is>
      </c>
      <c r="AA3" s="2" t="inlineStr">
        <is>
          <t>Indirect: troubleshooting knowledge -&gt; practical assistance -&gt; risk</t>
        </is>
      </c>
      <c r="AB3" s="2" t="inlineStr">
        <is>
          <t>Rich question context but not live lab state</t>
        </is>
      </c>
      <c r="AC3" s="2" t="inlineStr">
        <is>
          <t>High</t>
        </is>
      </c>
      <c r="AD3" s="2" t="inlineStr">
        <is>
          <t>Adding or removing human, tool, physical-execution, or deployment stages could change how the measured endpoint maps to downstream capability or security.</t>
        </is>
      </c>
      <c r="AE3" s="2" t="inlineStr">
        <is>
          <t>Direct finding is bounded to the measured endpoint/configuration; broader biosecurity relevance requires additional inference.</t>
        </is>
      </c>
      <c r="AF3" s="2" t="inlineStr">
        <is>
          <t>Bio misuse concern -&gt; virology troubleshooting construct -&gt; VCT score -&gt; inferred assistance -&gt; governance/safeguards</t>
        </is>
      </c>
      <c r="AG3" s="2" t="inlineStr">
        <is>
          <t>https://arxiv.org/abs/2504.16137</t>
        </is>
      </c>
      <c r="AH3" s="2" t="inlineStr">
        <is>
          <t>https://arxiv.org/pdf/2504.16137</t>
        </is>
      </c>
      <c r="AI3" s="2" t="inlineStr">
        <is>
          <t>Canonical link captured</t>
        </is>
      </c>
      <c r="AJ3" s="2" t="inlineStr">
        <is>
          <t>Strong expert baseline but still measures answers, not execution.</t>
        </is>
      </c>
    </row>
    <row r="4">
      <c r="A4" s="2" t="inlineStr">
        <is>
          <t>E03</t>
        </is>
      </c>
      <c r="B4" s="2" t="inlineStr">
        <is>
          <t>ABC-Bench</t>
        </is>
      </c>
      <c r="C4" s="2" t="inlineStr">
        <is>
          <t>2026</t>
        </is>
      </c>
      <c r="D4" s="2" t="inlineStr">
        <is>
          <t>Liu et al. / SecureBio-affiliated authors</t>
        </is>
      </c>
      <c r="E4" s="2" t="inlineStr">
        <is>
          <t>Agentic bio capability: lab automation, DNA assembly design, screening evasion</t>
        </is>
      </c>
      <c r="F4" s="2" t="inlineStr">
        <is>
          <t>Planning -&gt; robot control -&gt; DNA assembly; sequence design; screening</t>
        </is>
      </c>
      <c r="G4" s="2" t="inlineStr">
        <is>
          <t>Agentic biological workflow capability</t>
        </is>
      </c>
      <c r="H4" s="2" t="inlineStr">
        <is>
          <t>Task success; expert comparison; wet-lab assembly validation</t>
        </is>
      </c>
      <c r="I4" s="2" t="inlineStr">
        <is>
          <t>physical</t>
        </is>
      </c>
      <c r="J4" s="2" t="inlineStr">
        <is>
          <t>Agent + tools; selected wet-lab validation</t>
        </is>
      </c>
      <c r="K4" s="2" t="inlineStr">
        <is>
          <t>Manuals, photos, concentrations, task context</t>
        </is>
      </c>
      <c r="L4" s="2" t="inlineStr">
        <is>
          <t>Robot-control code, DNA designs, screening-evasion outputs</t>
        </is>
      </c>
      <c r="M4" s="2" t="inlineStr">
        <is>
          <t>Task success; expert comparison; wet-lab assembly validation</t>
        </is>
      </c>
      <c r="N4" s="2" t="inlineStr">
        <is>
          <t>Median expert human baselines; sequencing-confirmed assembly for robot task</t>
        </is>
      </c>
      <c r="O4" s="2" t="inlineStr">
        <is>
          <t>Agent benchmark + wet-lab validation</t>
        </is>
      </c>
      <c r="P4" s="2" t="inlineStr">
        <is>
          <t>physical step</t>
        </is>
      </c>
      <c r="Q4" s="2" t="inlineStr">
        <is>
          <t>validates upstream claim</t>
        </is>
      </c>
      <c r="R4" s="2" t="inlineStr">
        <is>
          <t>Agents outperform median expert baseliners on three tasks; selected scripts executed successfully on OpenTrons and assembled expected DNA</t>
        </is>
      </c>
      <c r="S4" s="2" t="inlineStr">
        <is>
          <t>More direct evidence of agentic workflow capability than QA benchmarks</t>
        </is>
      </c>
      <c r="T4" s="2" t="inlineStr">
        <is>
          <t>High for task construct</t>
        </is>
      </c>
      <c r="U4" s="2" t="inlineStr">
        <is>
          <t>high</t>
        </is>
      </c>
      <c r="V4" s="2" t="inlineStr">
        <is>
          <t>Moderate-high for robot-control task due physical validation; lower for other tasks</t>
        </is>
      </c>
      <c r="W4" s="2" t="inlineStr">
        <is>
          <t>moderate-high</t>
        </is>
      </c>
      <c r="X4" s="2" t="inlineStr">
        <is>
          <t>Still limited for downstream harm prediction</t>
        </is>
      </c>
      <c r="Y4" s="2" t="inlineStr">
        <is>
          <t>unknown</t>
        </is>
      </c>
      <c r="Z4" s="2" t="inlineStr">
        <is>
          <t>Biosecurity-relevant capability/safeguard performance and downstream consequential risk</t>
        </is>
      </c>
      <c r="AA4" s="2" t="inlineStr">
        <is>
          <t>Moderate: demonstrates physical execution for a bounded benign task; biosecurity implication remains inferred</t>
        </is>
      </c>
      <c r="AB4" s="2" t="inlineStr">
        <is>
          <t>Real manuals/visual input and execution feedback used in validation</t>
        </is>
      </c>
      <c r="AC4" s="2" t="inlineStr">
        <is>
          <t>Moderate</t>
        </is>
      </c>
      <c r="AD4" s="2" t="inlineStr">
        <is>
          <t>Adding or removing human, tool, physical-execution, or deployment stages could change how the measured endpoint maps to downstream capability or security.</t>
        </is>
      </c>
      <c r="AE4" s="2" t="inlineStr">
        <is>
          <t>Direct finding is bounded to the measured endpoint/configuration; broader biosecurity relevance requires additional inference.</t>
        </is>
      </c>
      <c r="AF4" s="2" t="inlineStr">
        <is>
          <t>Agentic bio threat -&gt; multi-step capability -&gt; task success/wet-lab validation -&gt; inferred broader biosecurity capability</t>
        </is>
      </c>
      <c r="AG4" s="2" t="inlineStr">
        <is>
          <t>https://arxiv.org/abs/2606.11150</t>
        </is>
      </c>
      <c r="AH4" s="2" t="inlineStr">
        <is>
          <t>https://arxiv.org/pdf/2606.11150</t>
        </is>
      </c>
      <c r="AI4" s="2" t="inlineStr">
        <is>
          <t>Canonical link captured</t>
        </is>
      </c>
      <c r="AJ4" s="2" t="inlineStr">
        <is>
          <t>Key bridge case from benchmark to physical execution.</t>
        </is>
      </c>
    </row>
    <row r="5">
      <c r="A5" s="2" t="inlineStr">
        <is>
          <t>E04</t>
        </is>
      </c>
      <c r="B5" s="2" t="inlineStr">
        <is>
          <t>BioDesignBench</t>
        </is>
      </c>
      <c r="C5" s="2" t="inlineStr">
        <is>
          <t>2026</t>
        </is>
      </c>
      <c r="D5" s="2" t="inlineStr">
        <is>
          <t>Kim &amp; Romero</t>
        </is>
      </c>
      <c r="E5" s="2" t="inlineStr">
        <is>
          <t>LLM-agent protein design workflow performance</t>
        </is>
      </c>
      <c r="F5" s="2" t="inlineStr">
        <is>
          <t>Protein design: generate -&gt; evaluate -&gt; iterate -&gt; select</t>
        </is>
      </c>
      <c r="G5" s="2" t="inlineStr">
        <is>
          <t>Autonomous orchestration of protein design workflows</t>
        </is>
      </c>
      <c r="H5" s="2" t="inlineStr">
        <is>
          <t>Composite task performance; tool-use traces</t>
        </is>
      </c>
      <c r="I5" s="2" t="inlineStr">
        <is>
          <t>agentic</t>
        </is>
      </c>
      <c r="J5" s="2" t="inlineStr">
        <is>
          <t>Agent + computational protein-design tools</t>
        </is>
      </c>
      <c r="K5" s="2" t="inlineStr">
        <is>
          <t>Natural-language task + tool outputs</t>
        </is>
      </c>
      <c r="L5" s="2" t="inlineStr">
        <is>
          <t>Candidate sequences/design evidence</t>
        </is>
      </c>
      <c r="M5" s="2" t="inlineStr">
        <is>
          <t>Composite task performance; tool-use traces</t>
        </is>
      </c>
      <c r="N5" s="2" t="inlineStr">
        <is>
          <t>Expert and deterministic pipeline baselines</t>
        </is>
      </c>
      <c r="O5" s="2" t="inlineStr">
        <is>
          <t>Agent benchmark + controlled intervention</t>
        </is>
      </c>
      <c r="P5" s="2" t="inlineStr">
        <is>
          <t>none</t>
        </is>
      </c>
      <c r="Q5" s="2" t="inlineStr">
        <is>
          <t>none</t>
        </is>
      </c>
      <c r="R5" s="2" t="inlineStr">
        <is>
          <t>Strongest agents beat deterministic pipelines but underperform experts; forced-depth evaluation improves performance</t>
        </is>
      </c>
      <c r="S5" s="2" t="inlineStr">
        <is>
          <t>Shows behavior at agent-tool relationships matters, not only tool access</t>
        </is>
      </c>
      <c r="T5" s="2" t="inlineStr">
        <is>
          <t>High for in-silico workflow behavior</t>
        </is>
      </c>
      <c r="U5" s="2" t="inlineStr">
        <is>
          <t>high</t>
        </is>
      </c>
      <c r="V5" s="2" t="inlineStr">
        <is>
          <t>Moderate: realistic toolchain but entirely in silico</t>
        </is>
      </c>
      <c r="W5" s="2" t="inlineStr">
        <is>
          <t>moderate</t>
        </is>
      </c>
      <c r="X5" s="2" t="inlineStr">
        <is>
          <t>Unknown for wet-lab/design success beyond computational metrics</t>
        </is>
      </c>
      <c r="Y5" s="2" t="inlineStr">
        <is>
          <t>unknown</t>
        </is>
      </c>
      <c r="Z5" s="2" t="inlineStr">
        <is>
          <t>Biosecurity-relevant capability/safeguard performance and downstream consequential risk</t>
        </is>
      </c>
      <c r="AA5" s="2" t="inlineStr">
        <is>
          <t>Indirect to biosecurity; direct for agentic scientific workflow behavior</t>
        </is>
      </c>
      <c r="AB5" s="2" t="inlineStr">
        <is>
          <t>Tool outputs and metrics available; evaluation depth varied</t>
        </is>
      </c>
      <c r="AC5" s="2" t="inlineStr">
        <is>
          <t>Moderate</t>
        </is>
      </c>
      <c r="AD5" s="2" t="inlineStr">
        <is>
          <t>Adding or removing human, tool, physical-execution, or deployment stages could change how the measured endpoint maps to downstream capability or security.</t>
        </is>
      </c>
      <c r="AE5" s="2" t="inlineStr">
        <is>
          <t>Direct finding is bounded to the measured endpoint/configuration; broader biosecurity relevance requires additional inference.</t>
        </is>
      </c>
      <c r="AF5" s="2" t="inlineStr">
        <is>
          <t>Agentic scientific capability -&gt; workflow behavior -&gt; design score -&gt; inferred capability</t>
        </is>
      </c>
      <c r="AG5" s="2" t="inlineStr">
        <is>
          <t>https://pmc.ncbi.nlm.nih.gov/articles/PMC13174699/</t>
        </is>
      </c>
      <c r="AH5" s="2" t="inlineStr">
        <is>
          <t>https://pmc.ncbi.nlm.nih.gov/articles/PMC13174699/</t>
        </is>
      </c>
      <c r="AI5" s="2" t="inlineStr">
        <is>
          <t>Full text public on PMC; canonical link captured</t>
        </is>
      </c>
      <c r="AJ5" s="2" t="inlineStr">
        <is>
          <t>Excellent relational case: same tools, different evaluation behavior changes outcome.</t>
        </is>
      </c>
    </row>
    <row r="6">
      <c r="A6" s="2" t="inlineStr">
        <is>
          <t>E05</t>
        </is>
      </c>
      <c r="B6" s="2" t="inlineStr">
        <is>
          <t>AIPD TEVV with safe biological proxies</t>
        </is>
      </c>
      <c r="C6" s="2" t="inlineStr">
        <is>
          <t>2025-2026</t>
        </is>
      </c>
      <c r="D6" s="2" t="inlineStr">
        <is>
          <t>Ikonomova et al. / NIST + collaborators</t>
        </is>
      </c>
      <c r="E6" s="2" t="inlineStr">
        <is>
          <t>AI-assisted protein redesign while retaining function and evading screening</t>
        </is>
      </c>
      <c r="F6" s="2" t="inlineStr">
        <is>
          <t>Computational design -&gt; synthesis/testing -&gt; screening</t>
        </is>
      </c>
      <c r="G6" s="2" t="inlineStr">
        <is>
          <t>Practical severity of AI protein-design screening-evasion vulnerability</t>
        </is>
      </c>
      <c r="H6" s="2" t="inlineStr">
        <is>
          <t>Ability to retain activity while changing sequence and evading BSS</t>
        </is>
      </c>
      <c r="I6" s="2" t="inlineStr">
        <is>
          <t>physical</t>
        </is>
      </c>
      <c r="J6" s="2" t="inlineStr">
        <is>
          <t>AI design tools + physical wet-lab validation + screening</t>
        </is>
      </c>
      <c r="K6" s="2" t="inlineStr">
        <is>
          <t>Native protein templates; generated homologs; safe proxies</t>
        </is>
      </c>
      <c r="L6" s="2" t="inlineStr">
        <is>
          <t>Designed sequences and experimentally measured activity/screening outcomes</t>
        </is>
      </c>
      <c r="M6" s="2" t="inlineStr">
        <is>
          <t>Ability to retain activity while changing sequence and evading BSS</t>
        </is>
      </c>
      <c r="N6" s="2" t="inlineStr">
        <is>
          <t>Native activity and BSS detection; physical assays</t>
        </is>
      </c>
      <c r="O6" s="2" t="inlineStr">
        <is>
          <t>TEVV / wet-lab validation</t>
        </is>
      </c>
      <c r="P6" s="2" t="inlineStr">
        <is>
          <t>physical step</t>
        </is>
      </c>
      <c r="Q6" s="2" t="inlineStr">
        <is>
          <t>validates upstream claim</t>
        </is>
      </c>
      <c r="R6" s="2" t="inlineStr">
        <is>
          <t>Current systems can generate structurally similar homologs but do not reliably retain activity while evading screening</t>
        </is>
      </c>
      <c r="S6" s="2" t="inlineStr">
        <is>
          <t>Directly tests a previously in-silico risk claim and finds important physical constraint</t>
        </is>
      </c>
      <c r="T6" s="2" t="inlineStr">
        <is>
          <t>High</t>
        </is>
      </c>
      <c r="U6" s="2" t="inlineStr">
        <is>
          <t>high</t>
        </is>
      </c>
      <c r="V6" s="2" t="inlineStr">
        <is>
          <t>High: physical testing of safe proxies</t>
        </is>
      </c>
      <c r="W6" s="2" t="inlineStr">
        <is>
          <t>high</t>
        </is>
      </c>
      <c r="X6" s="2" t="inlineStr">
        <is>
          <t>Moderate for current-tool risk; extrapolation to future tools uncertain</t>
        </is>
      </c>
      <c r="Y6" s="2" t="inlineStr">
        <is>
          <t>moderate</t>
        </is>
      </c>
      <c r="Z6" s="2" t="inlineStr">
        <is>
          <t>Biosecurity-relevant capability/safeguard performance and downstream consequential risk</t>
        </is>
      </c>
      <c r="AA6" s="2" t="inlineStr">
        <is>
          <t>Direct for tested capability; broader catastrophic relevance indirect</t>
        </is>
      </c>
      <c r="AB6" s="2" t="inlineStr">
        <is>
          <t>Physical activity and screening results restore context missing from in-silico prediction</t>
        </is>
      </c>
      <c r="AC6" s="2" t="inlineStr">
        <is>
          <t>Moderate</t>
        </is>
      </c>
      <c r="AD6" s="2" t="inlineStr">
        <is>
          <t>Adding or removing human, tool, physical-execution, or deployment stages could change how the measured endpoint maps to downstream capability or security.</t>
        </is>
      </c>
      <c r="AE6" s="2" t="inlineStr">
        <is>
          <t>Direct finding is bounded to the measured endpoint/configuration; broader biosecurity relevance requires additional inference.</t>
        </is>
      </c>
      <c r="AF6" s="2" t="inlineStr">
        <is>
          <t>In-silico evasion concern -&gt; generated homologs -&gt; physical function + screening tests -&gt; revised risk estimate</t>
        </is>
      </c>
      <c r="AG6" s="2" t="inlineStr">
        <is>
          <t>https://www.nist.gov/publications/experimental-evaluation-ai-driven-protein-design-risks-using-safe-biological-proxies</t>
        </is>
      </c>
      <c r="AH6" s="2" t="inlineStr">
        <is>
          <t>https://www.biorxiv.org/content/10.1101/2025.05.15.654077v2.full.pdf</t>
        </is>
      </c>
      <c r="AI6" s="2" t="inlineStr">
        <is>
          <t>Canonical link captured</t>
        </is>
      </c>
      <c r="AJ6" s="2" t="inlineStr">
        <is>
          <t>Strong example where physical validation changes security interpretation.</t>
        </is>
      </c>
    </row>
    <row r="7">
      <c r="A7" s="2" t="inlineStr">
        <is>
          <t>E06</t>
        </is>
      </c>
      <c r="B7" s="2" t="inlineStr">
        <is>
          <t>LANL skill-based uplift wet-lab pilot</t>
        </is>
      </c>
      <c r="C7" s="2" t="inlineStr">
        <is>
          <t>2025</t>
        </is>
      </c>
      <c r="D7" s="2" t="inlineStr">
        <is>
          <t>Romero-Severson et al.</t>
        </is>
      </c>
      <c r="E7" s="2" t="inlineStr">
        <is>
          <t>Human skill uplift from AI in real lab</t>
        </is>
      </c>
      <c r="F7" s="2" t="inlineStr">
        <is>
          <t>Transformation -&gt; expression -&gt; mass-spec confirmation</t>
        </is>
      </c>
      <c r="G7" s="2" t="inlineStr">
        <is>
          <t>AI uplift of novice biological skill</t>
        </is>
      </c>
      <c r="H7" s="2" t="inlineStr">
        <is>
          <t>Segment completion and qualitative interaction</t>
        </is>
      </c>
      <c r="I7" s="2" t="inlineStr">
        <is>
          <t>human+AI</t>
        </is>
      </c>
      <c r="J7" s="2" t="inlineStr">
        <is>
          <t>Human + AI vs human + internet; physical execution</t>
        </is>
      </c>
      <c r="K7" s="2" t="inlineStr">
        <is>
          <t>Protocol/task materials, lab equipment, AI or internet</t>
        </is>
      </c>
      <c r="L7" s="2" t="inlineStr">
        <is>
          <t>Participant actions and experimental outputs</t>
        </is>
      </c>
      <c r="M7" s="2" t="inlineStr">
        <is>
          <t>Segment completion and qualitative interaction</t>
        </is>
      </c>
      <c r="N7" s="2" t="inlineStr">
        <is>
          <t>Internet-only control group</t>
        </is>
      </c>
      <c r="O7" s="2" t="inlineStr">
        <is>
          <t>Randomized/pilot human wet-lab study</t>
        </is>
      </c>
      <c r="P7" s="2" t="inlineStr">
        <is>
          <t>physical step</t>
        </is>
      </c>
      <c r="Q7" s="2" t="inlineStr">
        <is>
          <t>endpoint / iterative feedback</t>
        </is>
      </c>
      <c r="R7" s="2" t="inlineStr">
        <is>
          <t>Pilot did not provide statistically significant evidence of AI uplift; all participants performed relatively well</t>
        </is>
      </c>
      <c r="S7" s="2" t="inlineStr">
        <is>
          <t>Directly observes human-AI use in a real lab and exposes design/measurement challenges</t>
        </is>
      </c>
      <c r="T7" s="2" t="inlineStr">
        <is>
          <t>High for bounded task</t>
        </is>
      </c>
      <c r="U7" s="2" t="inlineStr">
        <is>
          <t>high</t>
        </is>
      </c>
      <c r="V7" s="2" t="inlineStr">
        <is>
          <t>High for real lab, but small sample and relatively basic task</t>
        </is>
      </c>
      <c r="W7" s="2" t="inlineStr">
        <is>
          <t>high</t>
        </is>
      </c>
      <c r="X7" s="2" t="inlineStr">
        <is>
          <t>Low due underpowered pilot</t>
        </is>
      </c>
      <c r="Y7" s="2" t="inlineStr">
        <is>
          <t>low</t>
        </is>
      </c>
      <c r="Z7" s="2" t="inlineStr">
        <is>
          <t>Biosecurity-relevant capability/safeguard performance and downstream consequential risk</t>
        </is>
      </c>
      <c r="AA7" s="2" t="inlineStr">
        <is>
          <t>Direct for tested uplift endpoint; broader misuse relevance uncertain</t>
        </is>
      </c>
      <c r="AB7" s="2" t="inlineStr">
        <is>
          <t>Real equipment/social context captured qualitatively</t>
        </is>
      </c>
      <c r="AC7" s="2" t="inlineStr">
        <is>
          <t>Moderate</t>
        </is>
      </c>
      <c r="AD7" s="2" t="inlineStr">
        <is>
          <t>Adding or removing human, tool, physical-execution, or deployment stages could change how the measured endpoint maps to downstream capability or security.</t>
        </is>
      </c>
      <c r="AE7" s="2" t="inlineStr">
        <is>
          <t>Direct finding is bounded to the measured endpoint/configuration; broader biosecurity relevance requires additional inference.</t>
        </is>
      </c>
      <c r="AF7" s="2" t="inlineStr">
        <is>
          <t>Bio uplift concern -&gt; novice task performance -&gt; AI vs internet comparison -&gt; inferred misuse/benefit</t>
        </is>
      </c>
      <c r="AG7" s="2" t="inlineStr">
        <is>
          <t>https://arxiv.org/abs/2512.10960</t>
        </is>
      </c>
      <c r="AH7" s="2" t="inlineStr">
        <is>
          <t>https://arxiv.org/pdf/2512.10960</t>
        </is>
      </c>
      <c r="AI7" s="2" t="inlineStr">
        <is>
          <t>Canonical link captured</t>
        </is>
      </c>
      <c r="AJ7" s="2" t="inlineStr">
        <is>
          <t>Important null/uncertain result; prevents benchmark-only narrative.</t>
        </is>
      </c>
    </row>
    <row r="8">
      <c r="A8" s="2" t="inlineStr">
        <is>
          <t>E07</t>
        </is>
      </c>
      <c r="B8" s="2" t="inlineStr">
        <is>
          <t>RefusalBench</t>
        </is>
      </c>
      <c r="C8" s="2" t="inlineStr">
        <is>
          <t>2026</t>
        </is>
      </c>
      <c r="D8" s="2" t="inlineStr">
        <is>
          <t>Weidener et al.</t>
        </is>
      </c>
      <c r="E8" s="2" t="inlineStr">
        <is>
          <t>Refusal calibration on benign/borderline/dual-use biological prompts</t>
        </is>
      </c>
      <c r="F8" s="2" t="inlineStr">
        <is>
          <t>Model-response safeguard layer</t>
        </is>
      </c>
      <c r="G8" s="2" t="inlineStr">
        <is>
          <t>Whether refusal behavior tracks biological risk tier</t>
        </is>
      </c>
      <c r="H8" s="2" t="inlineStr">
        <is>
          <t>Tier discrimination, refusal rate, Youden J, partial compliance</t>
        </is>
      </c>
      <c r="I8" s="2" t="inlineStr">
        <is>
          <t>model-only</t>
        </is>
      </c>
      <c r="J8" s="2" t="inlineStr">
        <is>
          <t>Model-only single-turn</t>
        </is>
      </c>
      <c r="K8" s="2" t="inlineStr">
        <is>
          <t>Matched triples holding framing constant while changing risk tier</t>
        </is>
      </c>
      <c r="L8" s="2" t="inlineStr">
        <is>
          <t>Refuse / hedge / answer</t>
        </is>
      </c>
      <c r="M8" s="2" t="inlineStr">
        <is>
          <t>Tier discrimination, refusal rate, Youden J, partial compliance</t>
        </is>
      </c>
      <c r="N8" s="2" t="inlineStr">
        <is>
          <t>Positive control + matched risk tiers</t>
        </is>
      </c>
      <c r="O8" s="2" t="inlineStr">
        <is>
          <t>Safeguard evaluation</t>
        </is>
      </c>
      <c r="P8" s="2" t="inlineStr">
        <is>
          <t>none</t>
        </is>
      </c>
      <c r="Q8" s="2" t="inlineStr">
        <is>
          <t>none</t>
        </is>
      </c>
      <c r="R8" s="2" t="inlineStr">
        <is>
          <t>Overall refusal rate can misrank tier discrimination; hedge-but-help behavior escapes binary refusal metrics</t>
        </is>
      </c>
      <c r="S8" s="2" t="inlineStr">
        <is>
          <t>Demonstrates proxy-target decoupling within refusal evaluation</t>
        </is>
      </c>
      <c r="T8" s="2" t="inlineStr">
        <is>
          <t>High for refusal-calibration construct</t>
        </is>
      </c>
      <c r="U8" s="2" t="inlineStr">
        <is>
          <t>high</t>
        </is>
      </c>
      <c r="V8" s="2" t="inlineStr">
        <is>
          <t>Low-moderate for real workflow safety</t>
        </is>
      </c>
      <c r="W8" s="2" t="inlineStr">
        <is>
          <t>low-moderate</t>
        </is>
      </c>
      <c r="X8" s="2" t="inlineStr">
        <is>
          <t>Unknown</t>
        </is>
      </c>
      <c r="Y8" s="2" t="inlineStr">
        <is>
          <t>unknown</t>
        </is>
      </c>
      <c r="Z8" s="2" t="inlineStr">
        <is>
          <t>Biosecurity-relevant capability/safeguard performance and downstream consequential risk</t>
        </is>
      </c>
      <c r="AA8" s="2" t="inlineStr">
        <is>
          <t>Indirect: refusal metric -&gt; safeguard quality -&gt; real-world risk mitigation</t>
        </is>
      </c>
      <c r="AB8" s="2" t="inlineStr">
        <is>
          <t>Risk-tier metadata explicit; no downstream workflow context</t>
        </is>
      </c>
      <c r="AC8" s="2" t="inlineStr">
        <is>
          <t>High</t>
        </is>
      </c>
      <c r="AD8" s="2" t="inlineStr">
        <is>
          <t>Adding or removing human, tool, physical-execution, or deployment stages could change how the measured endpoint maps to downstream capability or security.</t>
        </is>
      </c>
      <c r="AE8" s="2" t="inlineStr">
        <is>
          <t>Direct finding is bounded to the measured endpoint/configuration; broader biosecurity relevance requires additional inference.</t>
        </is>
      </c>
      <c r="AF8" s="2" t="inlineStr">
        <is>
          <t>Safeguard concern -&gt; refusal behavior -&gt; metric -&gt; inferred calibration -&gt; safety</t>
        </is>
      </c>
      <c r="AG8" s="2" t="inlineStr">
        <is>
          <t>https://arxiv.org/abs/2605.21545</t>
        </is>
      </c>
      <c r="AH8" s="2" t="inlineStr">
        <is>
          <t>https://arxiv.org/pdf/2605.21545</t>
        </is>
      </c>
      <c r="AI8" s="2" t="inlineStr">
        <is>
          <t>Canonical link captured</t>
        </is>
      </c>
      <c r="AJ8" s="2" t="inlineStr">
        <is>
          <t>Key measurement-validity case.</t>
        </is>
      </c>
    </row>
    <row r="9">
      <c r="A9" s="2" t="inlineStr">
        <is>
          <t>E08</t>
        </is>
      </c>
      <c r="B9" s="2" t="inlineStr">
        <is>
          <t>BioTIER</t>
        </is>
      </c>
      <c r="C9" s="2" t="inlineStr">
        <is>
          <t>2026</t>
        </is>
      </c>
      <c r="D9" s="2" t="inlineStr">
        <is>
          <t>Marshall et al. / SecureBio</t>
        </is>
      </c>
      <c r="E9" s="2" t="inlineStr">
        <is>
          <t>Targeted refusal of hazardous biology while permitting benign use</t>
        </is>
      </c>
      <c r="F9" s="2" t="inlineStr">
        <is>
          <t>Model-response safeguard layer</t>
        </is>
      </c>
      <c r="G9" s="2" t="inlineStr">
        <is>
          <t>Targeted biological risk mitigation</t>
        </is>
      </c>
      <c r="H9" s="2" t="inlineStr">
        <is>
          <t>Combined F1; refuse and permit rates</t>
        </is>
      </c>
      <c r="I9" s="2" t="inlineStr">
        <is>
          <t>model-only</t>
        </is>
      </c>
      <c r="J9" s="2" t="inlineStr">
        <is>
          <t>Model-only single-turn</t>
        </is>
      </c>
      <c r="K9" s="2" t="inlineStr">
        <is>
          <t>542 expert-curated prompts across CA/BD/RB tiers</t>
        </is>
      </c>
      <c r="L9" s="2" t="inlineStr">
        <is>
          <t>Refuse or answer</t>
        </is>
      </c>
      <c r="M9" s="2" t="inlineStr">
        <is>
          <t>Combined F1; refuse and permit rates</t>
        </is>
      </c>
      <c r="N9" s="2" t="inlineStr">
        <is>
          <t>Expert-curated policy/risk tiers</t>
        </is>
      </c>
      <c r="O9" s="2" t="inlineStr">
        <is>
          <t>Safeguard benchmark</t>
        </is>
      </c>
      <c r="P9" s="2" t="inlineStr">
        <is>
          <t>none</t>
        </is>
      </c>
      <c r="Q9" s="2" t="inlineStr">
        <is>
          <t>none</t>
        </is>
      </c>
      <c r="R9" s="2" t="inlineStr">
        <is>
          <t>Measures whether models refuse designated high-risk/dual-use content while permitting benign biology</t>
        </is>
      </c>
      <c r="S9" s="2" t="inlineStr">
        <is>
          <t>Directly measures policy-aligned response behavior; not downstream misuse prevention</t>
        </is>
      </c>
      <c r="T9" s="2" t="inlineStr">
        <is>
          <t>Moderate-high for policy compliance</t>
        </is>
      </c>
      <c r="U9" s="2" t="inlineStr">
        <is>
          <t>moderate-high</t>
        </is>
      </c>
      <c r="V9" s="2" t="inlineStr">
        <is>
          <t>Low for workflow security</t>
        </is>
      </c>
      <c r="W9" s="2" t="inlineStr">
        <is>
          <t>low</t>
        </is>
      </c>
      <c r="X9" s="2" t="inlineStr">
        <is>
          <t>Unknown</t>
        </is>
      </c>
      <c r="Y9" s="2" t="inlineStr">
        <is>
          <t>unknown</t>
        </is>
      </c>
      <c r="Z9" s="2" t="inlineStr">
        <is>
          <t>Biosecurity-relevant capability/safeguard performance and downstream consequential risk</t>
        </is>
      </c>
      <c r="AA9" s="2" t="inlineStr">
        <is>
          <t>Indirect: calibrated refusal -&gt; reduced information assistance -&gt; reduced misuse risk</t>
        </is>
      </c>
      <c r="AB9" s="2" t="inlineStr">
        <is>
          <t>Rich risk taxonomy but no user/workflow context</t>
        </is>
      </c>
      <c r="AC9" s="2" t="inlineStr">
        <is>
          <t>High</t>
        </is>
      </c>
      <c r="AD9" s="2" t="inlineStr">
        <is>
          <t>Adding or removing human, tool, physical-execution, or deployment stages could change how the measured endpoint maps to downstream capability or security.</t>
        </is>
      </c>
      <c r="AE9" s="2" t="inlineStr">
        <is>
          <t>Direct finding is bounded to the measured endpoint/configuration; broader biosecurity relevance requires additional inference.</t>
        </is>
      </c>
      <c r="AF9" s="2" t="inlineStr">
        <is>
          <t>Bio misuse concern -&gt; content tiers -&gt; refusal/permit behavior -&gt; inferred mitigation quality</t>
        </is>
      </c>
      <c r="AG9" s="2" t="inlineStr">
        <is>
          <t>https://arxiv.org/abs/2607.14479</t>
        </is>
      </c>
      <c r="AH9" s="2" t="inlineStr">
        <is>
          <t>https://arxiv.org/pdf/2607.14479</t>
        </is>
      </c>
      <c r="AI9" s="2" t="inlineStr">
        <is>
          <t>Canonical link captured</t>
        </is>
      </c>
      <c r="AJ9" s="2" t="inlineStr">
        <is>
          <t>Useful contrast with RefusalBench and agentic capability measures.</t>
        </is>
      </c>
    </row>
    <row r="10">
      <c r="A10" s="2" t="inlineStr">
        <is>
          <t>E09</t>
        </is>
      </c>
      <c r="B10" s="2" t="inlineStr">
        <is>
          <t>Bacterial Biothreat Benchmark (B3) / BBG implementation</t>
        </is>
      </c>
      <c r="C10" s="2" t="inlineStr">
        <is>
          <t>2025</t>
        </is>
      </c>
      <c r="D10" s="2" t="inlineStr">
        <is>
          <t>Ackerman et al. / Nemesys Insights</t>
        </is>
      </c>
      <c r="E10" s="2" t="inlineStr">
        <is>
          <t>Model uplift / general harm potential across bacterial biothreat chain</t>
        </is>
      </c>
      <c r="F10" s="2" t="inlineStr">
        <is>
          <t>Threat-chain planning/knowledge tasks</t>
        </is>
      </c>
      <c r="G10" s="2" t="inlineStr">
        <is>
          <t>Biosecurity risk posed by frontier LLMs</t>
        </is>
      </c>
      <c r="H10" s="2" t="inlineStr">
        <is>
          <t>Risk analysis across benchmark dimensions</t>
        </is>
      </c>
      <c r="I10" s="2" t="inlineStr">
        <is>
          <t>model-only</t>
        </is>
      </c>
      <c r="J10" s="2" t="inlineStr">
        <is>
          <t>Model benchmark + human evaluation</t>
        </is>
      </c>
      <c r="K10" s="2" t="inlineStr">
        <is>
          <t>1,010 task-aligned prompts mapped to hierarchical threat schema</t>
        </is>
      </c>
      <c r="L10" s="2" t="inlineStr">
        <is>
          <t>Model responses</t>
        </is>
      </c>
      <c r="M10" s="2" t="inlineStr">
        <is>
          <t>Risk analysis across benchmark dimensions</t>
        </is>
      </c>
      <c r="N10" s="2" t="inlineStr">
        <is>
          <t>Task-query architecture / human evaluation</t>
        </is>
      </c>
      <c r="O10" s="2" t="inlineStr">
        <is>
          <t>Threat-chain benchmark</t>
        </is>
      </c>
      <c r="P10" s="2" t="inlineStr">
        <is>
          <t>none</t>
        </is>
      </c>
      <c r="Q10" s="2" t="inlineStr">
        <is>
          <t>none</t>
        </is>
      </c>
      <c r="R10" s="2" t="inlineStr">
        <is>
          <t>Pilot claims framework enables nuanced assessment and identifies sources of risk/mitigation priority</t>
        </is>
      </c>
      <c r="S10" s="2" t="inlineStr">
        <is>
          <t>Measures model responses to threat-chain-aligned prompts; does not execute threat chain</t>
        </is>
      </c>
      <c r="T10" s="2" t="inlineStr">
        <is>
          <t>Moderate</t>
        </is>
      </c>
      <c r="U10" s="2" t="inlineStr">
        <is>
          <t>moderate</t>
        </is>
      </c>
      <c r="V10" s="2" t="inlineStr">
        <is>
          <t>Low-moderate</t>
        </is>
      </c>
      <c r="W10" s="2" t="inlineStr">
        <is>
          <t>low-moderate</t>
        </is>
      </c>
      <c r="X10" s="2" t="inlineStr">
        <is>
          <t>Unknown</t>
        </is>
      </c>
      <c r="Y10" s="2" t="inlineStr">
        <is>
          <t>unknown</t>
        </is>
      </c>
      <c r="Z10" s="2" t="inlineStr">
        <is>
          <t>Biosecurity-relevant capability/safeguard performance and downstream consequential risk</t>
        </is>
      </c>
      <c r="AA10" s="2" t="inlineStr">
        <is>
          <t>Indirect: task-query performance -&gt; adversary uplift/risk</t>
        </is>
      </c>
      <c r="AB10" s="2" t="inlineStr">
        <is>
          <t>Operational threat context encoded in taxonomy but not enacted</t>
        </is>
      </c>
      <c r="AC10" s="2" t="inlineStr">
        <is>
          <t>High</t>
        </is>
      </c>
      <c r="AD10" s="2" t="inlineStr">
        <is>
          <t>Adding or removing human, tool, physical-execution, or deployment stages could change how the measured endpoint maps to downstream capability or security.</t>
        </is>
      </c>
      <c r="AE10" s="2" t="inlineStr">
        <is>
          <t>Direct finding is bounded to the measured endpoint/configuration; broader biosecurity relevance requires additional inference.</t>
        </is>
      </c>
      <c r="AF10" s="2" t="inlineStr">
        <is>
          <t>Biothreat concern -&gt; threat-chain tasks -&gt; prompts -&gt; response quality -&gt; risk inference</t>
        </is>
      </c>
      <c r="AG10" s="2" t="inlineStr">
        <is>
          <t>https://arxiv.org/abs/2512.08459</t>
        </is>
      </c>
      <c r="AH10" s="2" t="inlineStr">
        <is>
          <t>https://arxiv.org/pdf/2512.08459</t>
        </is>
      </c>
      <c r="AI10" s="2" t="inlineStr">
        <is>
          <t>Canonical link captured</t>
        </is>
      </c>
      <c r="AJ10" s="2" t="inlineStr">
        <is>
          <t>Useful case where benchmark attempts to encode operational context.</t>
        </is>
      </c>
    </row>
    <row r="11">
      <c r="A11" s="2" t="inlineStr">
        <is>
          <t>E10</t>
        </is>
      </c>
      <c r="B11" s="2" t="inlineStr">
        <is>
          <t>Sequence-based biosecurity screening resilience study</t>
        </is>
      </c>
      <c r="C11" s="2" t="inlineStr">
        <is>
          <t>2026</t>
        </is>
      </c>
      <c r="D11" s="2" t="inlineStr">
        <is>
          <t>Wittmann et al. / collaborators</t>
        </is>
      </c>
      <c r="E11" s="2" t="inlineStr">
        <is>
          <t>BSS detection of AI-reformulated/fragmented sequences</t>
        </is>
      </c>
      <c r="F11" s="2" t="inlineStr">
        <is>
          <t>DNA synthesis screening</t>
        </is>
      </c>
      <c r="G11" s="2" t="inlineStr">
        <is>
          <t>Robustness of sequence-based biosecurity screening to fragmented AI-reformulated synthetic homologs</t>
        </is>
      </c>
      <c r="H11" s="2" t="inlineStr">
        <is>
          <t>Detection rate vs fragment length and patched versions</t>
        </is>
      </c>
      <c r="I11" s="2" t="inlineStr">
        <is>
          <t>model+tools</t>
        </is>
      </c>
      <c r="J11" s="2" t="inlineStr">
        <is>
          <t>Generated sequence variants -&gt; screening tools</t>
        </is>
      </c>
      <c r="K11" s="2" t="inlineStr">
        <is>
          <t>AI-reformulated homologs/fragments</t>
        </is>
      </c>
      <c r="L11" s="2" t="inlineStr">
        <is>
          <t>Detection / miss by four screening tools</t>
        </is>
      </c>
      <c r="M11" s="2" t="inlineStr">
        <is>
          <t>Detection rate vs fragment length and patched versions</t>
        </is>
      </c>
      <c r="N11" s="2" t="inlineStr">
        <is>
          <t>Screening evaluation</t>
        </is>
      </c>
      <c r="O11" s="2" t="inlineStr">
        <is>
          <t>Robustness of sequence-screening safeguard</t>
        </is>
      </c>
      <c r="P11" s="2" t="inlineStr">
        <is>
          <t>none</t>
        </is>
      </c>
      <c r="Q11" s="2" t="inlineStr">
        <is>
          <t>none</t>
        </is>
      </c>
      <c r="R11" s="2" t="inlineStr">
        <is>
          <t>Two tested tools robustly detected fragments down to about 50 nt without further modification; upgraded versions of the other two improved performance on the tested synthetic homolog fragments.</t>
        </is>
      </c>
      <c r="S11" s="2" t="inlineStr">
        <is>
          <t>Patched sequence-based screening is effective against tested current AIPD-derived sequences, while alternate/context-aware approaches remain important as AIPD capabilities advance.</t>
        </is>
      </c>
      <c r="T11" s="2" t="inlineStr">
        <is>
          <t>High for the tested screening-detection construct; the study does not establish biological function or procurement harm.</t>
        </is>
      </c>
      <c r="U11" s="2" t="inlineStr">
        <is>
          <t>high</t>
        </is>
      </c>
      <c r="V11" s="2" t="inlineStr">
        <is>
          <t>Moderate-high for a screening-stage test using four operationally relevant tools; customer behavior and downstream assembly are outside the boundary.</t>
        </is>
      </c>
      <c r="W11" s="2" t="inlineStr">
        <is>
          <t>moderate-high</t>
        </is>
      </c>
      <c r="X11" s="2" t="inlineStr">
        <is>
          <t>Direct for detection of the tested sequence distribution; unknown for future more-divergent designs and broader biological harm.</t>
        </is>
      </c>
      <c r="Y11" s="2" t="inlineStr">
        <is>
          <t>unknown</t>
        </is>
      </c>
      <c r="Z11" s="2" t="inlineStr">
        <is>
          <t>Biosecurity-relevant capability/safeguard performance and downstream consequential risk</t>
        </is>
      </c>
      <c r="AA11" s="2" t="inlineStr">
        <is>
          <t>Direct for screening robustness against the tested variants; downstream misuse/harm remains indirect.</t>
        </is>
      </c>
      <c r="AB11" s="2" t="inlineStr">
        <is>
          <t>Fragment length, sequence identity/LCS, tool/provider/version and true-positive/true-negative status are preserved; authors note broader order/customer context may be needed for future highly engineered sequences.</t>
        </is>
      </c>
      <c r="AC11" s="2" t="inlineStr">
        <is>
          <t>high</t>
        </is>
      </c>
      <c r="AD11" s="2" t="inlineStr">
        <is>
          <t>Adding or removing human, tool, physical-execution, or deployment stages could change how the measured endpoint maps to downstream capability or security.</t>
        </is>
      </c>
      <c r="AE11" s="2" t="inlineStr">
        <is>
          <t>Direct finding supports current screening robustness for tested variants; claims about future AIPD threats and alternate screening needs are forward-looking.</t>
        </is>
      </c>
      <c r="AF11" s="2" t="inlineStr">
        <is>
          <t>AI-assisted sequence redesign concern -&gt; fragmented synthetic homologs -&gt; BSS detection performance -&gt; screening robustness inference -&gt; need for continued patching and alternate/context-aware screening.</t>
        </is>
      </c>
      <c r="AG11" s="2" t="inlineStr">
        <is>
          <t>https://pmc.ncbi.nlm.nih.gov/articles/PMC13402867/</t>
        </is>
      </c>
      <c r="AH11" s="2" t="inlineStr">
        <is>
          <t>https://pmc.ncbi.nlm.nih.gov/articles/PMC13402867/</t>
        </is>
      </c>
      <c r="AI11" s="2" t="inlineStr">
        <is>
          <t>Canonical public full text captured</t>
        </is>
      </c>
      <c r="AJ11" s="2" t="inlineStr">
        <is>
          <t>v1.1 correction: v1 row had a column-shift transcription error from construct onward. Primary article reports no financial support for this work and discloses author affiliations/conflicts.</t>
        </is>
      </c>
    </row>
    <row r="12">
      <c r="A12" s="2" t="inlineStr">
        <is>
          <t>E11</t>
        </is>
      </c>
      <c r="B12" s="2" t="inlineStr">
        <is>
          <t>OpenAI / Red Queen Bio wet-lab optimization evaluation</t>
        </is>
      </c>
      <c r="C12" s="2" t="inlineStr">
        <is>
          <t>2025</t>
        </is>
      </c>
      <c r="D12" s="2" t="inlineStr">
        <is>
          <t>OpenAI + Red Queen Bio + Robot on Rails</t>
        </is>
      </c>
      <c r="E12" s="2" t="inlineStr">
        <is>
          <t>AI-directed experimental optimization and automated execution</t>
        </is>
      </c>
      <c r="F12" s="2" t="inlineStr">
        <is>
          <t>Design -&gt; experiment -&gt; feedback -&gt; redesign -&gt; robot execution</t>
        </is>
      </c>
      <c r="G12" s="2" t="inlineStr">
        <is>
          <t>Capability to reason across iterative physical biology experiments</t>
        </is>
      </c>
      <c r="H12" s="2" t="inlineStr">
        <is>
          <t>Cloning efficiency and robot-vs-human performance</t>
        </is>
      </c>
      <c r="I12" s="2" t="inlineStr">
        <is>
          <t>model-only</t>
        </is>
      </c>
      <c r="J12" s="2" t="inlineStr">
        <is>
          <t>AI + human executors; later robot + vision/path planning</t>
        </is>
      </c>
      <c r="K12" s="2" t="inlineStr">
        <is>
          <t>Baseline cloning protocol; experimental data returned after each round</t>
        </is>
      </c>
      <c r="L12" s="2" t="inlineStr">
        <is>
          <t>Protocol modifications; robotic actions</t>
        </is>
      </c>
      <c r="M12" s="2" t="inlineStr">
        <is>
          <t>Cloning efficiency and robot-vs-human performance</t>
        </is>
      </c>
      <c r="N12" s="2" t="inlineStr">
        <is>
          <t>Baseline HiFi protocol; human execution</t>
        </is>
      </c>
      <c r="O12" s="2" t="inlineStr">
        <is>
          <t>Iterative wet-lab evaluation</t>
        </is>
      </c>
      <c r="P12" s="2" t="inlineStr">
        <is>
          <t>physical step</t>
        </is>
      </c>
      <c r="Q12" s="2" t="inlineStr">
        <is>
          <t>endpoint / iterative feedback</t>
        </is>
      </c>
      <c r="R12" s="2" t="inlineStr">
        <is>
          <t>GPT-5 proposed modifications leading to reported 79x efficiency improvement; robot reproduced relative ranking with lower absolute yields</t>
        </is>
      </c>
      <c r="S12" s="2" t="inlineStr">
        <is>
          <t>Demonstrates closed-loop AI-guided wet-lab optimization in a benign system</t>
        </is>
      </c>
      <c r="T12" s="2" t="inlineStr">
        <is>
          <t>Moderate-high for experimental optimization</t>
        </is>
      </c>
      <c r="U12" s="2" t="inlineStr">
        <is>
          <t>moderate-high</t>
        </is>
      </c>
      <c r="V12" s="2" t="inlineStr">
        <is>
          <t>High for bounded lab workflow</t>
        </is>
      </c>
      <c r="W12" s="2" t="inlineStr">
        <is>
          <t>high</t>
        </is>
      </c>
      <c r="X12" s="2" t="inlineStr">
        <is>
          <t>Unknown for broader biological tasks or misuse</t>
        </is>
      </c>
      <c r="Y12" s="2" t="inlineStr">
        <is>
          <t>unknown</t>
        </is>
      </c>
      <c r="Z12" s="2" t="inlineStr">
        <is>
          <t>Biosecurity-relevant capability/safeguard performance and downstream consequential risk</t>
        </is>
      </c>
      <c r="AA12" s="2" t="inlineStr">
        <is>
          <t>Direct for tested workflow capability; biosecurity relevance inferred</t>
        </is>
      </c>
      <c r="AB12" s="2" t="inlineStr">
        <is>
          <t>Experimental feedback repeatedly returned to model; robot receives visual/environment context</t>
        </is>
      </c>
      <c r="AC12" s="2" t="inlineStr">
        <is>
          <t>Moderate</t>
        </is>
      </c>
      <c r="AD12" s="2" t="inlineStr">
        <is>
          <t>Adding or removing human, tool, physical-execution, or deployment stages could change how the measured endpoint maps to downstream capability or security.</t>
        </is>
      </c>
      <c r="AE12" s="2" t="inlineStr">
        <is>
          <t>Direct finding is bounded to the measured endpoint/configuration; broader biosecurity relevance requires additional inference.</t>
        </is>
      </c>
      <c r="AF12" s="2" t="inlineStr">
        <is>
          <t>AI science capability -&gt; iterative protocol proposals -&gt; human/robot execution -&gt; measured improvement -&gt; inferred broader capability/biosecurity implications</t>
        </is>
      </c>
      <c r="AG12" s="2" t="inlineStr">
        <is>
          <t>https://openai.com/index/accelerating-biological-research-in-the-wet-lab/</t>
        </is>
      </c>
      <c r="AH12" s="2" t="inlineStr">
        <is>
          <t>https://openai.com/index/accelerating-biological-research-in-the-wet-lab/</t>
        </is>
      </c>
      <c r="AI12" s="2" t="inlineStr">
        <is>
          <t>Canonical web full-text link captured</t>
        </is>
      </c>
      <c r="AJ12" s="2" t="inlineStr">
        <is>
          <t>Important closed-loop case; source is developer research publication rather than peer-reviewed paper.</t>
        </is>
      </c>
    </row>
    <row r="13">
      <c r="A13" s="2" t="inlineStr">
        <is>
          <t>E12</t>
        </is>
      </c>
      <c r="B13" s="2" t="inlineStr">
        <is>
          <t>BioAgent Bench</t>
        </is>
      </c>
      <c r="C13" s="2" t="inlineStr">
        <is>
          <t>2026</t>
        </is>
      </c>
      <c r="D13" s="2" t="inlineStr">
        <is>
          <t>Fa et al. / Entropic + University of Zagreb</t>
        </is>
      </c>
      <c r="E13" s="2" t="inlineStr">
        <is>
          <t>Robust end-to-end bioinformatics agent performance</t>
        </is>
      </c>
      <c r="F13" s="2" t="inlineStr">
        <is>
          <t>RNA-seq, variant calling, metagenomics, comparative genomics and related pipelines</t>
        </is>
      </c>
      <c r="G13" s="2" t="inlineStr">
        <is>
          <t>Reliable automation of common bioinformatics workflows</t>
        </is>
      </c>
      <c r="H13" s="2" t="inlineStr">
        <is>
          <t>Pipeline completion, output validity, LLM-grader scores, robustness under controlled perturbations</t>
        </is>
      </c>
      <c r="I13" s="2" t="inlineStr">
        <is>
          <t>agent+tools</t>
        </is>
      </c>
      <c r="J13" s="2" t="inlineStr">
        <is>
          <t>Frontier closed/open-weight LLMs in CLI agent harnesses with bioinformatics tools</t>
        </is>
      </c>
      <c r="K13" s="2" t="inlineStr">
        <is>
          <t>Task prompt + biological input/reference files; perturbations include corrupted inputs, decoy files and prompt bloat</t>
        </is>
      </c>
      <c r="L13" s="2" t="inlineStr">
        <is>
          <t>Generated artifacts and completed analysis pipelines</t>
        </is>
      </c>
      <c r="M13" s="2" t="inlineStr">
        <is>
          <t>Pipeline progress and outcome validity</t>
        </is>
      </c>
      <c r="N13" s="2" t="inlineStr">
        <is>
          <t>Reference implementations / truth files where available; some tasks partially non-binary</t>
        </is>
      </c>
      <c r="O13" s="2" t="inlineStr">
        <is>
          <t>In-silico end-to-end benchmark with controlled perturbation tests</t>
        </is>
      </c>
      <c r="P13" s="2" t="inlineStr">
        <is>
          <t>No</t>
        </is>
      </c>
      <c r="Q13" s="2" t="inlineStr">
        <is>
          <t>None</t>
        </is>
      </c>
      <c r="R13" s="2" t="inlineStr">
        <is>
          <t>Frontier agents complete many pipelines, but robustness drops under perturbations and correct high-level workflow construction does not guarantee reliable step-level reasoning.</t>
        </is>
      </c>
      <c r="S13" s="2" t="inlineStr">
        <is>
          <t>Indirect: reliability/privacy of AI agents operating on sensitive biological data and workflows</t>
        </is>
      </c>
      <c r="T13" s="2" t="inlineStr">
        <is>
          <t>Tasks mirror common bioinformatics pipelines and use concrete artifacts; authors explicitly note compromises made for verifiability/resource limits</t>
        </is>
      </c>
      <c r="U13" s="2" t="inlineStr">
        <is>
          <t>Moderate-high</t>
        </is>
      </c>
      <c r="V13" s="2" t="inlineStr">
        <is>
          <t>Real tools and realistic data-analysis workflows, but small-organism/resource constraints and benchmark packaging simplify real practice</t>
        </is>
      </c>
      <c r="W13" s="2" t="inlineStr">
        <is>
          <t>Moderate</t>
        </is>
      </c>
      <c r="X13" s="2" t="inlineStr">
        <is>
          <t>No direct prospective deployment validation identified</t>
        </is>
      </c>
      <c r="Y13" s="2" t="inlineStr">
        <is>
          <t>Low/unknown</t>
        </is>
      </c>
      <c r="Z13" s="2" t="inlineStr">
        <is>
          <t>Safe/reliable use of AI agents in bioinformatics</t>
        </is>
      </c>
      <c r="AA13" s="2" t="inlineStr">
        <is>
          <t>Indirect; perturbation robustness and privacy constraints are operationally relevant, but no downstream security outcome is measured</t>
        </is>
      </c>
      <c r="AB13" s="2" t="inlineStr">
        <is>
          <t>Paper + public repository</t>
        </is>
      </c>
      <c r="AC13" s="2" t="inlineStr">
        <is>
          <t>High</t>
        </is>
      </c>
      <c r="AD13" s="2" t="inlineStr">
        <is>
          <t>Model performance varies with harness, inputs, reference data and perturbations; workflow-level choices matter</t>
        </is>
      </c>
      <c r="AE13" s="2" t="inlineStr">
        <is>
          <t>Moderate</t>
        </is>
      </c>
      <c r="AF13" s="2" t="inlineStr">
        <is>
          <t>Bioinformatics automation -&gt; realistic agent benchmark -&gt; perturbation robustness -&gt; reliability inference -&gt; deployment caution</t>
        </is>
      </c>
      <c r="AG13" s="2" t="inlineStr">
        <is>
          <t>https://arxiv.org/abs/2601.21800</t>
        </is>
      </c>
      <c r="AH13" s="2" t="inlineStr">
        <is>
          <t>https://arxiv.org/pdf/2601.21800</t>
        </is>
      </c>
      <c r="AI13" s="2" t="inlineStr">
        <is>
          <t>Linked, not locally archived</t>
        </is>
      </c>
      <c r="AJ13" s="2" t="inlineStr">
        <is>
          <t>Strong case for configuration and perturbation sensitivity.</t>
        </is>
      </c>
    </row>
    <row r="14">
      <c r="A14" s="2" t="inlineStr">
        <is>
          <t>E13</t>
        </is>
      </c>
      <c r="B14" s="2" t="inlineStr">
        <is>
          <t>BioSecBench-Surveillance</t>
        </is>
      </c>
      <c r="C14" s="2" t="inlineStr">
        <is>
          <t>2026</t>
        </is>
      </c>
      <c r="D14" s="2" t="inlineStr">
        <is>
          <t>Bhasin et al. / LatchBio and collaborators</t>
        </is>
      </c>
      <c r="E14" s="2" t="inlineStr">
        <is>
          <t>Agent capability for pathogen genomic surveillance</t>
        </is>
      </c>
      <c r="F14" s="2" t="inlineStr">
        <is>
          <t>Raw sequencing data -&gt; surveillance analysis -&gt; structured surveillance result</t>
        </is>
      </c>
      <c r="G14" s="2" t="inlineStr">
        <is>
          <t>Whether AI agents can independently infer and execute appropriate pathogen-surveillance analysis</t>
        </is>
      </c>
      <c r="H14" s="2" t="inlineStr">
        <is>
          <t>Deterministically graded pass/fail across 100 evaluations and task categories</t>
        </is>
      </c>
      <c r="I14" s="2" t="inlineStr">
        <is>
          <t>agent+tools</t>
        </is>
      </c>
      <c r="J14" s="2" t="inlineStr">
        <is>
          <t>16 model-harness pairs; agent selects tools, references, thresholds and normalization</t>
        </is>
      </c>
      <c r="K14" s="2" t="inlineStr">
        <is>
          <t>Raw or near-raw sequencing data plus minimal analyst context</t>
        </is>
      </c>
      <c r="L14" s="2" t="inlineStr">
        <is>
          <t>Structured surveillance decisions/results</t>
        </is>
      </c>
      <c r="M14" s="2" t="inlineStr">
        <is>
          <t>Per-evaluation pass rate; category-level pass rates</t>
        </is>
      </c>
      <c r="N14" s="2" t="inlineStr">
        <is>
          <t>Held-out expert ground truth from real surveillance workflows</t>
        </is>
      </c>
      <c r="O14" s="2" t="inlineStr">
        <is>
          <t>In-silico benchmark derived from real pathogen-surveillance workflows</t>
        </is>
      </c>
      <c r="P14" s="2" t="inlineStr">
        <is>
          <t>No</t>
        </is>
      </c>
      <c r="Q14" s="2" t="inlineStr">
        <is>
          <t>None</t>
        </is>
      </c>
      <c r="R14" s="2" t="inlineStr">
        <is>
          <t>Strongest configurations pass about half of evaluations; errors often arise from references, thresholds, filters and normalization even when agents select the right high-level workflow.</t>
        </is>
      </c>
      <c r="S14" s="2" t="inlineStr">
        <is>
          <t>Readiness/trustworthiness of AI agents for pathogen genomic surveillance</t>
        </is>
      </c>
      <c r="T14" s="2" t="inlineStr">
        <is>
          <t>Tasks snapshot real workflows and deterministic ground truth; subject-matter expert review</t>
        </is>
      </c>
      <c r="U14" s="2" t="inlineStr">
        <is>
          <t>High for the bounded surveillance-decision construct</t>
        </is>
      </c>
      <c r="V14" s="2" t="inlineStr">
        <is>
          <t>Uses real workflow structure and sequencing data/context, but remains benchmarked and held-out</t>
        </is>
      </c>
      <c r="W14" s="2" t="inlineStr">
        <is>
          <t>Moderate-high</t>
        </is>
      </c>
      <c r="X14" s="2" t="inlineStr">
        <is>
          <t>No deployed outbreak-performance validation identified</t>
        </is>
      </c>
      <c r="Y14" s="2" t="inlineStr">
        <is>
          <t>Unknown</t>
        </is>
      </c>
      <c r="Z14" s="2" t="inlineStr">
        <is>
          <t>Public-health/biosecurity surveillance reliability</t>
        </is>
      </c>
      <c r="AA14" s="2" t="inlineStr">
        <is>
          <t>Directly relevant to surveillance task quality; not direct evidence of outbreak-security outcomes</t>
        </is>
      </c>
      <c r="AB14" s="2" t="inlineStr">
        <is>
          <t>arXiv + public subset repository/methods</t>
        </is>
      </c>
      <c r="AC14" s="2" t="inlineStr">
        <is>
          <t>High</t>
        </is>
      </c>
      <c r="AD14" s="2" t="inlineStr">
        <is>
          <t>Correct tool choice is insufficient; surrounding analytical decisions determine outcome</t>
        </is>
      </c>
      <c r="AE14" s="2" t="inlineStr">
        <is>
          <t>Low-moderate</t>
        </is>
      </c>
      <c r="AF14" s="2" t="inlineStr">
        <is>
          <t>Surveillance need -&gt; workflow task -&gt; agent decisions -&gt; graded result -&gt; trustworthiness inference</t>
        </is>
      </c>
      <c r="AG14" s="2" t="inlineStr">
        <is>
          <t>https://arxiv.org/abs/2607.19262</t>
        </is>
      </c>
      <c r="AH14" s="2" t="inlineStr">
        <is>
          <t>https://arxiv.org/pdf/2607.19262</t>
        </is>
      </c>
      <c r="AI14" s="2" t="inlineStr">
        <is>
          <t>Linked, not locally archived</t>
        </is>
      </c>
      <c r="AJ14" s="2" t="inlineStr">
        <is>
          <t>Highly relevant to relationship-level analysis of context, thresholds and tool selection.</t>
        </is>
      </c>
    </row>
    <row r="15">
      <c r="A15" s="2" t="inlineStr">
        <is>
          <t>E14</t>
        </is>
      </c>
      <c r="B15" s="2" t="inlineStr">
        <is>
          <t>BiomniBench</t>
        </is>
      </c>
      <c r="C15" s="2" t="inlineStr">
        <is>
          <t>2026</t>
        </is>
      </c>
      <c r="D15" s="2" t="inlineStr">
        <is>
          <t>Qu et al.</t>
        </is>
      </c>
      <c r="E15" s="2" t="inlineStr">
        <is>
          <t>Process-level biomedical research agent evaluation</t>
        </is>
      </c>
      <c r="F15" s="2" t="inlineStr">
        <is>
          <t>Biomedical data analysis across 17 task types / multiple disease areas</t>
        </is>
      </c>
      <c r="G15" s="2" t="inlineStr">
        <is>
          <t>Quality of full scientific-analysis trajectory, not just final answer</t>
        </is>
      </c>
      <c r="H15" s="2" t="inlineStr">
        <is>
          <t>Expert-designed task-specific process rubrics applied across agent trajectories</t>
        </is>
      </c>
      <c r="I15" s="2" t="inlineStr">
        <is>
          <t>agent+harness</t>
        </is>
      </c>
      <c r="J15" s="2" t="inlineStr">
        <is>
          <t>Frontier/open-weight models across four agent harnesses</t>
        </is>
      </c>
      <c r="K15" s="2" t="inlineStr">
        <is>
          <t>Tasks based on published papers and co-developed with original authors/domain experts</t>
        </is>
      </c>
      <c r="L15" s="2" t="inlineStr">
        <is>
          <t>Full analysis trajectory and scientific conclusions</t>
        </is>
      </c>
      <c r="M15" s="2" t="inlineStr">
        <is>
          <t>Dimension-level process scores</t>
        </is>
      </c>
      <c r="N15" s="2" t="inlineStr">
        <is>
          <t>Expert-designed rubrics and source-paper/domain-expert reference</t>
        </is>
      </c>
      <c r="O15" s="2" t="inlineStr">
        <is>
          <t>In-silico process-level benchmark</t>
        </is>
      </c>
      <c r="P15" s="2" t="inlineStr">
        <is>
          <t>No</t>
        </is>
      </c>
      <c r="Q15" s="2" t="inlineStr">
        <is>
          <t>None</t>
        </is>
      </c>
      <c r="R15" s="2" t="inlineStr">
        <is>
          <t>Agent harness shifts scores by more than the gap between successive model generations; agents ground sources but fall short on method selection, interpretation and reasoning.</t>
        </is>
      </c>
      <c r="S15" s="2" t="inlineStr">
        <is>
          <t>Primarily biomedical-research reliability; relevant to AI-bio capability measurement and configuration sensitivity</t>
        </is>
      </c>
      <c r="T15" s="2" t="inlineStr">
        <is>
          <t>Process rubrics explicitly address failure of outcome-only scoring; tasks tied to real papers and experts</t>
        </is>
      </c>
      <c r="U15" s="2" t="inlineStr">
        <is>
          <t>High for process-quality construct</t>
        </is>
      </c>
      <c r="V15" s="2" t="inlineStr">
        <is>
          <t>Realistic research tasks, though benchmarked and in silico</t>
        </is>
      </c>
      <c r="W15" s="2" t="inlineStr">
        <is>
          <t>Moderate-high</t>
        </is>
      </c>
      <c r="X15" s="2" t="inlineStr">
        <is>
          <t>No wet-lab/deployment validation identified</t>
        </is>
      </c>
      <c r="Y15" s="2" t="inlineStr">
        <is>
          <t>Unknown</t>
        </is>
      </c>
      <c r="Z15" s="2" t="inlineStr">
        <is>
          <t>Scientific reliability / capability assessment</t>
        </is>
      </c>
      <c r="AA15" s="2" t="inlineStr">
        <is>
          <t>Indirect to biosecurity</t>
        </is>
      </c>
      <c r="AB15" s="2" t="inlineStr">
        <is>
          <t>bioRxiv full text</t>
        </is>
      </c>
      <c r="AC15" s="2" t="inlineStr">
        <is>
          <t>Very high</t>
        </is>
      </c>
      <c r="AD15" s="2" t="inlineStr">
        <is>
          <t>Harness effect exceeds model-generation effect; configuration itself materially changes measured capability</t>
        </is>
      </c>
      <c r="AE15" s="2" t="inlineStr">
        <is>
          <t>Low for harness/configuration claim, higher for downstream security relevance</t>
        </is>
      </c>
      <c r="AF15" s="2" t="inlineStr">
        <is>
          <t>Research task -&gt; process rubric -&gt; agent/harness trajectory -&gt; performance -&gt; reliability/capability inference</t>
        </is>
      </c>
      <c r="AG15" s="2" t="inlineStr">
        <is>
          <t>https://www.biorxiv.org/content/10.64898/2026.05.12.724604v2</t>
        </is>
      </c>
      <c r="AH15" s="2" t="inlineStr">
        <is>
          <t>https://www.biorxiv.org/content/10.64898/2026.05.12.724604v2.full.pdf</t>
        </is>
      </c>
      <c r="AI15" s="2" t="inlineStr">
        <is>
          <t>Linked, not locally archived</t>
        </is>
      </c>
      <c r="AJ15" s="2" t="inlineStr">
        <is>
          <t>Strong evidence for configuration sensitivity.</t>
        </is>
      </c>
    </row>
    <row r="16">
      <c r="A16" s="2" t="inlineStr">
        <is>
          <t>E15</t>
        </is>
      </c>
      <c r="B16" s="2" t="inlineStr">
        <is>
          <t>BioML-bench</t>
        </is>
      </c>
      <c r="C16" s="2" t="inlineStr">
        <is>
          <t>2025-2026</t>
        </is>
      </c>
      <c r="D16" s="2" t="inlineStr">
        <is>
          <t>Multi-institution biomedical ML team</t>
        </is>
      </c>
      <c r="E16" s="2" t="inlineStr">
        <is>
          <t>End-to-end biomedical machine-learning agent capability</t>
        </is>
      </c>
      <c r="F16" s="2" t="inlineStr">
        <is>
          <t>Biomedical data analysis / ML modeling / therapeutics-relevant tasks</t>
        </is>
      </c>
      <c r="G16" s="2" t="inlineStr">
        <is>
          <t>Agent ability to solve multi-step biomedical ML challenges</t>
        </is>
      </c>
      <c r="H16" s="2" t="inlineStr">
        <is>
          <t>Task completion and benchmark performance on end-to-end ML workflows</t>
        </is>
      </c>
      <c r="I16" s="2" t="inlineStr">
        <is>
          <t>agent+tools</t>
        </is>
      </c>
      <c r="J16" s="2" t="inlineStr">
        <is>
          <t>LLM agents operating on biomedical ML tasks</t>
        </is>
      </c>
      <c r="K16" s="2" t="inlineStr">
        <is>
          <t>Realistic biomedical datasets/tasks including perturbation response and toxicity prediction</t>
        </is>
      </c>
      <c r="L16" s="2" t="inlineStr">
        <is>
          <t>Modeling pipelines, analyses and predictions</t>
        </is>
      </c>
      <c r="M16" s="2" t="inlineStr">
        <is>
          <t>End-to-end task performance</t>
        </is>
      </c>
      <c r="N16" s="2" t="inlineStr">
        <is>
          <t>Reference task solutions / benchmark datasets</t>
        </is>
      </c>
      <c r="O16" s="2" t="inlineStr">
        <is>
          <t>In-silico benchmark</t>
        </is>
      </c>
      <c r="P16" s="2" t="inlineStr">
        <is>
          <t>No</t>
        </is>
      </c>
      <c r="Q16" s="2" t="inlineStr">
        <is>
          <t>None</t>
        </is>
      </c>
      <c r="R16" s="2" t="inlineStr">
        <is>
          <t>Benchmark introduced to fill gap between QA/narrow tasks and multi-step biomedical ML workflows.</t>
        </is>
      </c>
      <c r="S16" s="2" t="inlineStr">
        <is>
          <t>Primarily biomedical R&amp;D capability; useful for mapping AI-bio capability beyond QA</t>
        </is>
      </c>
      <c r="T16" s="2" t="inlineStr">
        <is>
          <t>Targets end-to-end ML workflows central to AI-driven therapeutics</t>
        </is>
      </c>
      <c r="U16" s="2" t="inlineStr">
        <is>
          <t>Moderate-high</t>
        </is>
      </c>
      <c r="V16" s="2" t="inlineStr">
        <is>
          <t>Multi-step realistic tasks but still benchmark environment</t>
        </is>
      </c>
      <c r="W16" s="2" t="inlineStr">
        <is>
          <t>Moderate</t>
        </is>
      </c>
      <c r="X16" s="2" t="inlineStr">
        <is>
          <t>No physical/deployment validation identified</t>
        </is>
      </c>
      <c r="Y16" s="2" t="inlineStr">
        <is>
          <t>Unknown</t>
        </is>
      </c>
      <c r="Z16" s="2" t="inlineStr">
        <is>
          <t>AI-enabled biomedical R&amp;D capability</t>
        </is>
      </c>
      <c r="AA16" s="2" t="inlineStr">
        <is>
          <t>Indirect</t>
        </is>
      </c>
      <c r="AB16" s="2" t="inlineStr">
        <is>
          <t>bioRxiv</t>
        </is>
      </c>
      <c r="AC16" s="2" t="inlineStr">
        <is>
          <t>High</t>
        </is>
      </c>
      <c r="AD16" s="2" t="inlineStr">
        <is>
          <t>Capability emerges through agent/tool/data pipeline rather than model-only QA</t>
        </is>
      </c>
      <c r="AE16" s="2" t="inlineStr">
        <is>
          <t>Moderate</t>
        </is>
      </c>
      <c r="AF16" s="2" t="inlineStr">
        <is>
          <t>Biomedical ML need -&gt; end-to-end tasks -&gt; agent benchmark -&gt; R&amp;D capability inference</t>
        </is>
      </c>
      <c r="AG16" s="2" t="inlineStr">
        <is>
          <t>https://www.biorxiv.org/content/10.1101/2025.09.01.673319v3</t>
        </is>
      </c>
      <c r="AH16" s="2" t="inlineStr">
        <is>
          <t>https://www.biorxiv.org/content/10.1101/2025.09.01.673319v3.full.pdf</t>
        </is>
      </c>
      <c r="AI16" s="2" t="inlineStr">
        <is>
          <t>Linked, not locally archived</t>
        </is>
      </c>
      <c r="AJ16" s="2" t="inlineStr">
        <is>
          <t>Useful workflow-coverage record.</t>
        </is>
      </c>
    </row>
    <row r="17">
      <c r="A17" s="2" t="inlineStr">
        <is>
          <t>E16</t>
        </is>
      </c>
      <c r="B17" s="2" t="inlineStr">
        <is>
          <t>GeneBench / GeneBench-Pro</t>
        </is>
      </c>
      <c r="C17" s="2" t="inlineStr">
        <is>
          <t>2026</t>
        </is>
      </c>
      <c r="D17" s="2" t="inlineStr">
        <is>
          <t>Jeremy Li, Andrew Ho / OpenAI</t>
        </is>
      </c>
      <c r="E17" s="2" t="inlineStr">
        <is>
          <t>Multi-stage reasoning in genomics, quantitative biology and translational biomedicine</t>
        </is>
      </c>
      <c r="F17" s="2" t="inlineStr">
        <is>
          <t>Scientific data analysis -&gt; statistical inference -&gt; downstream scientific/translational conclusion</t>
        </is>
      </c>
      <c r="G17" s="2" t="inlineStr">
        <is>
          <t>Realistic multi-stage scientific reasoning capability</t>
        </is>
      </c>
      <c r="H17" s="2" t="inlineStr">
        <is>
          <t>Performance on multi-stage benchmark problems</t>
        </is>
      </c>
      <c r="I17" s="2" t="inlineStr">
        <is>
          <t>agent</t>
        </is>
      </c>
      <c r="J17" s="2" t="inlineStr">
        <is>
          <t>AI agents performing genomics/quantitative-biology analyses</t>
        </is>
      </c>
      <c r="K17" s="2" t="inlineStr">
        <is>
          <t>Benchmark tasks designed around realistic scientific analyses</t>
        </is>
      </c>
      <c r="L17" s="2" t="inlineStr">
        <is>
          <t>Analysis and conclusions used for downstream decisions</t>
        </is>
      </c>
      <c r="M17" s="2" t="inlineStr">
        <is>
          <t>Benchmark accuracy/performance</t>
        </is>
      </c>
      <c r="N17" s="2" t="inlineStr">
        <is>
          <t>Reference solutions / scientific ground truth</t>
        </is>
      </c>
      <c r="O17" s="2" t="inlineStr">
        <is>
          <t>In-silico benchmark</t>
        </is>
      </c>
      <c r="P17" s="2" t="inlineStr">
        <is>
          <t>No</t>
        </is>
      </c>
      <c r="Q17" s="2" t="inlineStr">
        <is>
          <t>None</t>
        </is>
      </c>
      <c r="R17" s="2" t="inlineStr">
        <is>
          <t>Introduces harder multi-stage tasks; authors characterize capability as emerging but unreliable.</t>
        </is>
      </c>
      <c r="S17" s="2" t="inlineStr">
        <is>
          <t>General AI-bio scientific capability, not specifically biosecurity</t>
        </is>
      </c>
      <c r="T17" s="2" t="inlineStr">
        <is>
          <t>Designed around multi-stage realistic analyses and downstream-decision contingency</t>
        </is>
      </c>
      <c r="U17" s="2" t="inlineStr">
        <is>
          <t>Moderate-high</t>
        </is>
      </c>
      <c r="V17" s="2" t="inlineStr">
        <is>
          <t>Scientific-analysis realism, but benchmark setting and authors affiliated with evaluated-model developer</t>
        </is>
      </c>
      <c r="W17" s="2" t="inlineStr">
        <is>
          <t>Moderate</t>
        </is>
      </c>
      <c r="X17" s="2" t="inlineStr">
        <is>
          <t>No prospective research outcome validation identified</t>
        </is>
      </c>
      <c r="Y17" s="2" t="inlineStr">
        <is>
          <t>Unknown</t>
        </is>
      </c>
      <c r="Z17" s="2" t="inlineStr">
        <is>
          <t>AI-bio capability progression</t>
        </is>
      </c>
      <c r="AA17" s="2" t="inlineStr">
        <is>
          <t>Indirect</t>
        </is>
      </c>
      <c r="AB17" s="2" t="inlineStr">
        <is>
          <t>bioRxiv; competing-interest disclosure notes OpenAI employment/shareholding</t>
        </is>
      </c>
      <c r="AC17" s="2" t="inlineStr">
        <is>
          <t>High</t>
        </is>
      </c>
      <c r="AD17" s="2" t="inlineStr">
        <is>
          <t>Errors can arise across multiple stages before final conclusion</t>
        </is>
      </c>
      <c r="AE17" s="2" t="inlineStr">
        <is>
          <t>Moderate</t>
        </is>
      </c>
      <c r="AF17" s="2" t="inlineStr">
        <is>
          <t>Scientific reasoning need -&gt; multi-stage benchmark -&gt; performance -&gt; capability inference</t>
        </is>
      </c>
      <c r="AG17" s="2" t="inlineStr">
        <is>
          <t>https://www.biorxiv.org/content/10.64898/2026.04.22.720113v1</t>
        </is>
      </c>
      <c r="AH17" s="2" t="inlineStr">
        <is>
          <t>https://www.biorxiv.org/content/10.64898/2026.04.22.720113v1.full.pdf</t>
        </is>
      </c>
      <c r="AI17" s="2" t="inlineStr">
        <is>
          <t>Linked, not locally archived</t>
        </is>
      </c>
      <c r="AJ17" s="2" t="inlineStr">
        <is>
          <t>Record explicit competing-interest context in later provenance analysis.</t>
        </is>
      </c>
    </row>
    <row r="18">
      <c r="A18" s="2" t="inlineStr">
        <is>
          <t>E17</t>
        </is>
      </c>
      <c r="B18" s="2" t="inlineStr">
        <is>
          <t>OpenAgentSafety</t>
        </is>
      </c>
      <c r="C18" s="2" t="inlineStr">
        <is>
          <t>2025-2026</t>
        </is>
      </c>
      <c r="D18" s="2" t="inlineStr">
        <is>
          <t>Vijayvargiya et al. / CMU, AI2</t>
        </is>
      </c>
      <c r="E18" s="2" t="inlineStr">
        <is>
          <t>Safety of tool-using AI agents in realistic organizational scenarios</t>
        </is>
      </c>
      <c r="F18" s="2" t="inlineStr">
        <is>
          <t>Multi-turn user interaction + web/code/file/bash/messaging tool use</t>
        </is>
      </c>
      <c r="G18" s="2" t="inlineStr">
        <is>
          <t>Unsafe behavior during agentic execution</t>
        </is>
      </c>
      <c r="H18" s="2" t="inlineStr">
        <is>
          <t>Rule-based + LLM-judge safety outcomes across 350+ tasks and eight risk categories</t>
        </is>
      </c>
      <c r="I18" s="2" t="inlineStr">
        <is>
          <t>agent+tools+users</t>
        </is>
      </c>
      <c r="J18" s="2" t="inlineStr">
        <is>
          <t>Five LLMs in simulated organizational environment with real software tools and NPC/user interactions</t>
        </is>
      </c>
      <c r="K18" s="2" t="inlineStr">
        <is>
          <t>Benign/adversarial/ambiguous user instructions and dynamic environment</t>
        </is>
      </c>
      <c r="L18" s="2" t="inlineStr">
        <is>
          <t>Tool actions, communications, file/code/web operations</t>
        </is>
      </c>
      <c r="M18" s="2" t="inlineStr">
        <is>
          <t>Unsafe-behavior rate</t>
        </is>
      </c>
      <c r="N18" s="2" t="inlineStr">
        <is>
          <t>Task-specific safety criteria / deterministic and LLM judging</t>
        </is>
      </c>
      <c r="O18" s="2" t="inlineStr">
        <is>
          <t>Interactive simulated-environment benchmark</t>
        </is>
      </c>
      <c r="P18" s="2" t="inlineStr">
        <is>
          <t>No</t>
        </is>
      </c>
      <c r="Q18" s="2" t="inlineStr">
        <is>
          <t>None</t>
        </is>
      </c>
      <c r="R18" s="2" t="inlineStr">
        <is>
          <t>Unsafe behavior occurs in roughly half to three-quarters of safety-vulnerable benchmark tasks across tested models.</t>
        </is>
      </c>
      <c r="S18" s="2" t="inlineStr">
        <is>
          <t>Not bio-specific; relevant methodological precedent for relational/tool-use safety evaluation</t>
        </is>
      </c>
      <c r="T18" s="2" t="inlineStr">
        <is>
          <t>Real tools, multi-turn social dynamics, broad risk taxonomy</t>
        </is>
      </c>
      <c r="U18" s="2" t="inlineStr">
        <is>
          <t>Moderate-high</t>
        </is>
      </c>
      <c r="V18" s="2" t="inlineStr">
        <is>
          <t>Real tools but simulated organization/users</t>
        </is>
      </c>
      <c r="W18" s="2" t="inlineStr">
        <is>
          <t>Moderate</t>
        </is>
      </c>
      <c r="X18" s="2" t="inlineStr">
        <is>
          <t>No deployed incident prediction validation identified</t>
        </is>
      </c>
      <c r="Y18" s="2" t="inlineStr">
        <is>
          <t>Unknown</t>
        </is>
      </c>
      <c r="Z18" s="2" t="inlineStr">
        <is>
          <t>Real-world agent deployment safety</t>
        </is>
      </c>
      <c r="AA18" s="2" t="inlineStr">
        <is>
          <t>Indirect benchmark-to-deployment linkage</t>
        </is>
      </c>
      <c r="AB18" s="2" t="inlineStr">
        <is>
          <t>arXiv + Schmidt project page</t>
        </is>
      </c>
      <c r="AC18" s="2" t="inlineStr">
        <is>
          <t>Very high</t>
        </is>
      </c>
      <c r="AD18" s="2" t="inlineStr">
        <is>
          <t>Unsafe behavior emerges through tool and user relationships absent from static model tests</t>
        </is>
      </c>
      <c r="AE18" s="2" t="inlineStr">
        <is>
          <t>Moderate</t>
        </is>
      </c>
      <c r="AF18" s="2" t="inlineStr">
        <is>
          <t>Agent deployment -&gt; interactive risk tasks -&gt; observed unsafe actions -&gt; safeguard need</t>
        </is>
      </c>
      <c r="AG18" s="2" t="inlineStr">
        <is>
          <t>https://arxiv.org/abs/2507.06134</t>
        </is>
      </c>
      <c r="AH18" s="2" t="inlineStr">
        <is>
          <t>https://arxiv.org/pdf/2507.06134</t>
        </is>
      </c>
      <c r="AI18" s="2" t="inlineStr">
        <is>
          <t>Linked, not locally archived</t>
        </is>
      </c>
      <c r="AJ18" s="2" t="inlineStr">
        <is>
          <t>Methodological bridge from model evals to relational system evals.</t>
        </is>
      </c>
    </row>
    <row r="19">
      <c r="A19" s="2" t="inlineStr">
        <is>
          <t>E18</t>
        </is>
      </c>
      <c r="B19" s="2" t="inlineStr">
        <is>
          <t>LLMs Outperform Experts on Challenging Biology Benchmarks</t>
        </is>
      </c>
      <c r="C19" s="2" t="inlineStr">
        <is>
          <t>2025</t>
        </is>
      </c>
      <c r="D19" s="2" t="inlineStr">
        <is>
          <t>Lennart Justen</t>
        </is>
      </c>
      <c r="E19" s="2" t="inlineStr">
        <is>
          <t>Cross-benchmark trend analysis of biology capability</t>
        </is>
      </c>
      <c r="F19" s="2" t="inlineStr">
        <is>
          <t>Knowledge/reasoning benchmarks across molecular biology, genetics, cloning, virology and biosecurity</t>
        </is>
      </c>
      <c r="G19" s="2" t="inlineStr">
        <is>
          <t>Frontier-model biological knowledge/reasoning capability over time</t>
        </is>
      </c>
      <c r="H19" s="2" t="inlineStr">
        <is>
          <t>Performance across eight biology benchmarks and repeated runs</t>
        </is>
      </c>
      <c r="I19" s="2" t="inlineStr">
        <is>
          <t>model</t>
        </is>
      </c>
      <c r="J19" s="2" t="inlineStr">
        <is>
          <t>27 frontier LLMs across benchmark suite</t>
        </is>
      </c>
      <c r="K19" s="2" t="inlineStr">
        <is>
          <t>Existing benchmark questions/tasks</t>
        </is>
      </c>
      <c r="L19" s="2" t="inlineStr">
        <is>
          <t>Answers to benchmark items</t>
        </is>
      </c>
      <c r="M19" s="2" t="inlineStr">
        <is>
          <t>Benchmark score trends</t>
        </is>
      </c>
      <c r="N19" s="2" t="inlineStr">
        <is>
          <t>Expert benchmark baselines / benchmark answers</t>
        </is>
      </c>
      <c r="O19" s="2" t="inlineStr">
        <is>
          <t>Cross-benchmark meta-evaluation</t>
        </is>
      </c>
      <c r="P19" s="2" t="inlineStr">
        <is>
          <t>No</t>
        </is>
      </c>
      <c r="Q19" s="2" t="inlineStr">
        <is>
          <t>None</t>
        </is>
      </c>
      <c r="R19" s="2" t="inlineStr">
        <is>
          <t>Top model performance rose strongly on several benchmarks; some benchmarks show saturation/data-quality limits.</t>
        </is>
      </c>
      <c r="S19" s="2" t="inlineStr">
        <is>
          <t>Signals improving biological capabilities and need for better evaluation methods</t>
        </is>
      </c>
      <c r="T19" s="2" t="inlineStr">
        <is>
          <t>Multiple established benchmarks and expert comparisons</t>
        </is>
      </c>
      <c r="U19" s="2" t="inlineStr">
        <is>
          <t>Moderate</t>
        </is>
      </c>
      <c r="V19" s="2" t="inlineStr">
        <is>
          <t>Mostly static benchmark questions rather than workflows</t>
        </is>
      </c>
      <c r="W19" s="2" t="inlineStr">
        <is>
          <t>Low-moderate</t>
        </is>
      </c>
      <c r="X19" s="2" t="inlineStr">
        <is>
          <t>No direct workflow/wet-lab prediction validation</t>
        </is>
      </c>
      <c r="Y19" s="2" t="inlineStr">
        <is>
          <t>Low/unknown</t>
        </is>
      </c>
      <c r="Z19" s="2" t="inlineStr">
        <is>
          <t>Bio capability trends relevant to risk assessment</t>
        </is>
      </c>
      <c r="AA19" s="2" t="inlineStr">
        <is>
          <t>Indirect; benchmark performance is a precursor, not consequence</t>
        </is>
      </c>
      <c r="AB19" s="2" t="inlineStr">
        <is>
          <t>arXiv</t>
        </is>
      </c>
      <c r="AC19" s="2" t="inlineStr">
        <is>
          <t>Very high</t>
        </is>
      </c>
      <c r="AD19" s="2" t="inlineStr">
        <is>
          <t>Model-only benchmark conclusions may change when tools/humans/physical execution are included</t>
        </is>
      </c>
      <c r="AE19" s="2" t="inlineStr">
        <is>
          <t>Moderate-high</t>
        </is>
      </c>
      <c r="AF19" s="2" t="inlineStr">
        <is>
          <t>Benchmark trend -&gt; capability inference -&gt; biosecurity concern -&gt; need for stronger evals</t>
        </is>
      </c>
      <c r="AG19" s="2" t="inlineStr">
        <is>
          <t>https://arxiv.org/abs/2505.06108</t>
        </is>
      </c>
      <c r="AH19" s="2" t="inlineStr">
        <is>
          <t>https://arxiv.org/pdf/2505.06108</t>
        </is>
      </c>
      <c r="AI19" s="2" t="inlineStr">
        <is>
          <t>Linked, not locally archived</t>
        </is>
      </c>
      <c r="AJ19" s="2" t="inlineStr">
        <is>
          <t>Useful comparator for model-only evaluation layer.</t>
        </is>
      </c>
    </row>
    <row r="20">
      <c r="A20" s="2" t="inlineStr">
        <is>
          <t>E19</t>
        </is>
      </c>
      <c r="B20" s="2" t="inlineStr">
        <is>
          <t>BixBench</t>
        </is>
      </c>
      <c r="C20" s="2" t="inlineStr">
        <is>
          <t>2025</t>
        </is>
      </c>
      <c r="D20" s="2" t="inlineStr">
        <is>
          <t>Mitchener, Laurent, Andonian, Tenmann, Narayanan, Wellawatte, White, Sani, Rodriques / FutureHouse &amp; ScienceMachine</t>
        </is>
      </c>
      <c r="E20" s="2" t="inlineStr">
        <is>
          <t>Autonomous bioinformatics analysis over real datasets</t>
        </is>
      </c>
      <c r="F20" s="2" t="inlineStr">
        <is>
          <t>Research question -&gt; data exploration -&gt; code/tool execution -&gt; analysis -&gt; biological interpretation</t>
        </is>
      </c>
      <c r="G20" s="2" t="inlineStr">
        <is>
          <t>Open-ended multi-step bioinformatics research capability</t>
        </is>
      </c>
      <c r="H20" s="2" t="inlineStr">
        <is>
          <t>61 real-world analytical scenarios / 205 open-answer questions with heterogeneous data files</t>
        </is>
      </c>
      <c r="I20" s="2" t="inlineStr">
        <is>
          <t>agent+tools</t>
        </is>
      </c>
      <c r="J20" s="2" t="inlineStr">
        <is>
          <t>Frontier LLMs in custom Jupyter agent executing Python/R/bash</t>
        </is>
      </c>
      <c r="K20" s="2" t="inlineStr">
        <is>
          <t>Minimal prompting plus scenario data and research question</t>
        </is>
      </c>
      <c r="L20" s="2" t="inlineStr">
        <is>
          <t>Executable analyses and interpreted open-answer results</t>
        </is>
      </c>
      <c r="M20" s="2" t="inlineStr">
        <is>
          <t>Question-level accuracy and scenario performance</t>
        </is>
      </c>
      <c r="N20" s="2" t="inlineStr">
        <is>
          <t>Expert-curated seed notebooks/scenarios and reviewed answers</t>
        </is>
      </c>
      <c r="O20" s="2" t="inlineStr">
        <is>
          <t>Executable computational benchmark</t>
        </is>
      </c>
      <c r="P20" s="2" t="inlineStr">
        <is>
          <t>No</t>
        </is>
      </c>
      <c r="Q20" s="2" t="inlineStr">
        <is>
          <t>None</t>
        </is>
      </c>
      <c r="R20" s="2" t="inlineStr">
        <is>
          <t>Frontier agents achieved ~21% best open-answer accuracy and marginally better than random in MCQ; benchmark validates multi-step computational limitations.</t>
        </is>
      </c>
      <c r="S20" s="2" t="inlineStr">
        <is>
          <t>Indirect; measures research capability that could contribute to biological capability, not security outcomes directly.</t>
        </is>
      </c>
      <c r="T20" s="2" t="inlineStr">
        <is>
          <t>Expert-curated scenarios from real bioinformatics analyses; open-ended execution</t>
        </is>
      </c>
      <c r="U20" s="2" t="inlineStr">
        <is>
          <t>Moderate-high for computational-biology analysis capability</t>
        </is>
      </c>
      <c r="V20" s="2" t="inlineStr">
        <is>
          <t>Real heterogeneous files, executable code, minimal prompts; still benchmarked computational setting</t>
        </is>
      </c>
      <c r="W20" s="2" t="inlineStr">
        <is>
          <t>Moderate-high for computational workflows</t>
        </is>
      </c>
      <c r="X20" s="2" t="inlineStr">
        <is>
          <t>No demonstrated prediction of real-world scientific discovery or security outcome</t>
        </is>
      </c>
      <c r="Y20" s="2" t="inlineStr">
        <is>
          <t>Unknown</t>
        </is>
      </c>
      <c r="Z20" s="2" t="inlineStr">
        <is>
          <t>AI-enabled biological research capability</t>
        </is>
      </c>
      <c r="AA20" s="2" t="inlineStr">
        <is>
          <t>Indirect inference</t>
        </is>
      </c>
      <c r="AB20" s="2" t="inlineStr">
        <is>
          <t>Input datasets and expert-curated scenario context included</t>
        </is>
      </c>
      <c r="AC20" s="2" t="inlineStr">
        <is>
          <t>High</t>
        </is>
      </c>
      <c r="AD20" s="2" t="inlineStr">
        <is>
          <t>Does not include wet-lab execution, human oversight, organizational controls, or physical consequences.</t>
        </is>
      </c>
      <c r="AE20" s="2" t="inlineStr">
        <is>
          <t>Strong evidence of computational-agent limitations; weak direct evidence for biosecurity impact.</t>
        </is>
      </c>
      <c r="AF20" s="2" t="inlineStr">
        <is>
          <t>Agent benchmark performance -&gt; computational research capability -&gt; broader biological capability -&gt; possible security relevance</t>
        </is>
      </c>
      <c r="AG20" s="2" t="inlineStr">
        <is>
          <t>https://arxiv.org/abs/2503.00096</t>
        </is>
      </c>
      <c r="AH20" s="2" t="inlineStr">
        <is>
          <t>https://arxiv.org/pdf/2503.00096</t>
        </is>
      </c>
      <c r="AI20" s="2" t="inlineStr">
        <is>
          <t>Link captured; local PDF download unavailable in runtime</t>
        </is>
      </c>
      <c r="AJ20" s="2" t="inlineStr">
        <is>
          <t>Useful falsifier of knowledge=workflow capability.</t>
        </is>
      </c>
    </row>
    <row r="21">
      <c r="A21" s="2" t="inlineStr">
        <is>
          <t>E20</t>
        </is>
      </c>
      <c r="B21" s="2" t="inlineStr">
        <is>
          <t>ClaroAI-Bench</t>
        </is>
      </c>
      <c r="C21" s="2" t="inlineStr">
        <is>
          <t>2026</t>
        </is>
      </c>
      <c r="D21" s="2" t="inlineStr">
        <is>
          <t>Kyle O’Connell / Deloitte Consulting LLP, Anthropic Alliance; Biomedical Data Science Team</t>
        </is>
      </c>
      <c r="E21" s="2" t="inlineStr">
        <is>
          <t>Reproducibility of published biomedical computational findings by AI agents</t>
        </is>
      </c>
      <c r="F21" s="2" t="inlineStr">
        <is>
          <t>Paper identification -&gt; data/code access -&gt; environment reconstruction -&gt; result reproduction</t>
        </is>
      </c>
      <c r="G21" s="2" t="inlineStr">
        <is>
          <t>Agentic scientific reproducibility</t>
        </is>
      </c>
      <c r="H21" s="2" t="inlineStr">
        <is>
          <t>35 NIH-funded papers scored on data findability, accessibility, code availability, environment reconstructability, result reproducibility</t>
        </is>
      </c>
      <c r="I21" s="2" t="inlineStr">
        <is>
          <t>agent+research-artifacts</t>
        </is>
      </c>
      <c r="J21" s="2" t="inlineStr">
        <is>
          <t>AI agents attempting reproduction across genomics, imaging, clinical/EHR, epidemiology and wet-lab-associated papers</t>
        </is>
      </c>
      <c r="K21" s="2" t="inlineStr">
        <is>
          <t>Published papers and available research artifacts</t>
        </is>
      </c>
      <c r="L21" s="2" t="inlineStr">
        <is>
          <t>Recovered data/code/environments and reproduced findings</t>
        </is>
      </c>
      <c r="M21" s="2" t="inlineStr">
        <is>
          <t>Five-dimension reproducibility rubric</t>
        </is>
      </c>
      <c r="N21" s="2" t="inlineStr">
        <is>
          <t>Published study artifacts/results</t>
        </is>
      </c>
      <c r="O21" s="2" t="inlineStr">
        <is>
          <t>Real-paper reproducibility benchmark</t>
        </is>
      </c>
      <c r="P21" s="2" t="inlineStr">
        <is>
          <t>Indirect / papers may involve wet-lab source studies</t>
        </is>
      </c>
      <c r="Q21" s="2" t="inlineStr">
        <is>
          <t>No new physical validation by benchmark agent</t>
        </is>
      </c>
      <c r="R21" s="2" t="inlineStr">
        <is>
          <t>Benchmark measures where real biomedical papers are or are not reproducible by agents across artifact-dependency stages.</t>
        </is>
      </c>
      <c r="S21" s="2" t="inlineStr">
        <is>
          <t>Indirect; illuminates infrastructure/context dependencies of scientific-agent capability.</t>
        </is>
      </c>
      <c r="T21" s="2" t="inlineStr">
        <is>
          <t>Uses real NIH-funded papers and staged reproducibility dimensions</t>
        </is>
      </c>
      <c r="U21" s="2" t="inlineStr">
        <is>
          <t>High for reproducibility workflow</t>
        </is>
      </c>
      <c r="V21" s="2" t="inlineStr">
        <is>
          <t>Real publications/artifacts; agent environment still controlled</t>
        </is>
      </c>
      <c r="W21" s="2" t="inlineStr">
        <is>
          <t>High for computational reproducibility</t>
        </is>
      </c>
      <c r="X21" s="2" t="inlineStr">
        <is>
          <t>No established prediction of new-discovery capability or security outcomes</t>
        </is>
      </c>
      <c r="Y21" s="2" t="inlineStr">
        <is>
          <t>Unknown</t>
        </is>
      </c>
      <c r="Z21" s="2" t="inlineStr">
        <is>
          <t>Dependence of AI-enabled research on accessible data/code/provenance</t>
        </is>
      </c>
      <c r="AA21" s="2" t="inlineStr">
        <is>
          <t>Indirect</t>
        </is>
      </c>
      <c r="AB21" s="2" t="inlineStr">
        <is>
          <t>Explicitly central to benchmark dimensions</t>
        </is>
      </c>
      <c r="AC21" s="2" t="inlineStr">
        <is>
          <t>Moderate</t>
        </is>
      </c>
      <c r="AD21" s="2" t="inlineStr">
        <is>
          <t>Captures research infrastructure but not downstream experimental execution or organizational controls.</t>
        </is>
      </c>
      <c r="AE21" s="2" t="inlineStr">
        <is>
          <t>Demonstrates reproducibility bottlenecks, not downstream safety/security effects.</t>
        </is>
      </c>
      <c r="AF21" s="2" t="inlineStr">
        <is>
          <t>Artifact/context availability -&gt; reproducibility -&gt; AI research capability -&gt; potential security relevance</t>
        </is>
      </c>
      <c r="AG21" s="2" t="inlineStr">
        <is>
          <t>https://www.biorxiv.org/content/10.64898/2026.05.08.723611v1</t>
        </is>
      </c>
      <c r="AH21" s="2" t="inlineStr">
        <is>
          <t>https://www.biorxiv.org/content/10.64898/2026.05.08.723611v1.full</t>
        </is>
      </c>
      <c r="AI21" s="2" t="inlineStr">
        <is>
          <t>Canonical full-text page captured</t>
        </is>
      </c>
      <c r="AJ21" s="2" t="inlineStr">
        <is>
          <t>Strong case for context/provenance as capability-enabling relationship.</t>
        </is>
      </c>
    </row>
    <row r="22">
      <c r="A22" s="2" t="inlineStr">
        <is>
          <t>E21</t>
        </is>
      </c>
      <c r="B22" s="2" t="inlineStr">
        <is>
          <t>BioXArena</t>
        </is>
      </c>
      <c r="C22" s="2" t="inlineStr">
        <is>
          <t>2026</t>
        </is>
      </c>
      <c r="D22" s="2" t="inlineStr">
        <is>
          <t>Li et al.</t>
        </is>
      </c>
      <c r="E22" s="2" t="inlineStr">
        <is>
          <t>End-to-end biomedical machine-learning pipeline construction</t>
        </is>
      </c>
      <c r="F22" s="2" t="inlineStr">
        <is>
          <t>Biomedical dataset -&gt; code/model pipeline -&gt; training -&gt; private-test prediction</t>
        </is>
      </c>
      <c r="G22" s="2" t="inlineStr">
        <is>
          <t>Agent capability for heterogeneous biomedical ML development</t>
        </is>
      </c>
      <c r="H22" s="2" t="inlineStr">
        <is>
          <t>76 end-to-end tasks across 9 biomedical domains with hidden labels and biology-aware metrics</t>
        </is>
      </c>
      <c r="I22" s="2" t="inlineStr">
        <is>
          <t>agent+compute+data</t>
        </is>
      </c>
      <c r="J22" s="2" t="inlineStr">
        <is>
          <t>11 agent configurations in standardized 2-hour single-GPU environment</t>
        </is>
      </c>
      <c r="K22" s="2" t="inlineStr">
        <is>
          <t>Multi-modal biomedical datasets and task specifications</t>
        </is>
      </c>
      <c r="L22" s="2" t="inlineStr">
        <is>
          <t>Executable code, trained models, predictions</t>
        </is>
      </c>
      <c r="M22" s="2" t="inlineStr">
        <is>
          <t>Normalized task score on private test data</t>
        </is>
      </c>
      <c r="N22" s="2" t="inlineStr">
        <is>
          <t>Hidden labels / task-specific biomedical metrics</t>
        </is>
      </c>
      <c r="O22" s="2" t="inlineStr">
        <is>
          <t>Executable ML benchmark + ablations</t>
        </is>
      </c>
      <c r="P22" s="2" t="inlineStr">
        <is>
          <t>No</t>
        </is>
      </c>
      <c r="Q22" s="2" t="inlineStr">
        <is>
          <t>None</t>
        </is>
      </c>
      <c r="R22" s="2" t="inlineStr">
        <is>
          <t>Top configurations scored ~0.666/0.636; no single agent dominated all domains; ablations isolate model/scaffold/inference-budget effects.</t>
        </is>
      </c>
      <c r="S22" s="2" t="inlineStr">
        <is>
          <t>Indirect scientific-capability evidence; not designed as biosecurity benchmark.</t>
        </is>
      </c>
      <c r="T22" s="2" t="inlineStr">
        <is>
          <t>End-to-end training pipelines on diverse real biomedical task types</t>
        </is>
      </c>
      <c r="U22" s="2" t="inlineStr">
        <is>
          <t>High for biomedical ML engineering capability</t>
        </is>
      </c>
      <c r="V22" s="2" t="inlineStr">
        <is>
          <t>Executable standardized compute setting with real heterogeneous modalities</t>
        </is>
      </c>
      <c r="W22" s="2" t="inlineStr">
        <is>
          <t>Moderate-high</t>
        </is>
      </c>
      <c r="X22" s="2" t="inlineStr">
        <is>
          <t>No established prediction of wet-lab or security outcome</t>
        </is>
      </c>
      <c r="Y22" s="2" t="inlineStr">
        <is>
          <t>Unknown</t>
        </is>
      </c>
      <c r="Z22" s="2" t="inlineStr">
        <is>
          <t>AI-enabled biomedical R&amp;D capability</t>
        </is>
      </c>
      <c r="AA22" s="2" t="inlineStr">
        <is>
          <t>Indirect</t>
        </is>
      </c>
      <c r="AB22" s="2" t="inlineStr">
        <is>
          <t>Task-specific source data/hidden labels; process trajectories planned for release</t>
        </is>
      </c>
      <c r="AC22" s="2" t="inlineStr">
        <is>
          <t>High</t>
        </is>
      </c>
      <c r="AD22" s="2" t="inlineStr">
        <is>
          <t>Does not include downstream human interpretation, experimental validation, or tool-to-physical handoff.</t>
        </is>
      </c>
      <c r="AE22" s="2" t="inlineStr">
        <is>
          <t>Demonstrates ML workflow capability and configuration sensitivity, not consequential biological action.</t>
        </is>
      </c>
      <c r="AF22" s="2" t="inlineStr">
        <is>
          <t>Agent configuration -&gt; biomedical ML performance -&gt; R&amp;D acceleration -&gt; potential capability/security implications</t>
        </is>
      </c>
      <c r="AG22" s="2" t="inlineStr">
        <is>
          <t>https://arxiv.org/abs/2605.15766</t>
        </is>
      </c>
      <c r="AH22" s="2" t="inlineStr">
        <is>
          <t>https://arxiv.org/pdf/2605.15766</t>
        </is>
      </c>
      <c r="AI22" s="2" t="inlineStr">
        <is>
          <t>Link captured</t>
        </is>
      </c>
      <c r="AJ22" s="2" t="inlineStr">
        <is>
          <t>Strong configuration-sensitivity comparator.</t>
        </is>
      </c>
    </row>
    <row r="23">
      <c r="A23" s="2" t="inlineStr">
        <is>
          <t>E22</t>
        </is>
      </c>
      <c r="B23" s="2" t="inlineStr">
        <is>
          <t>M3A: agentic AI for biological discovery in autonomous and copilot settings</t>
        </is>
      </c>
      <c r="C23" s="2" t="inlineStr">
        <is>
          <t>2026</t>
        </is>
      </c>
      <c r="D23" s="2" t="inlineStr">
        <is>
          <t>Johri et al. / Dana-Farber, Broad and collaborators</t>
        </is>
      </c>
      <c r="E23" s="2" t="inlineStr">
        <is>
          <t>Open-ended biological discovery over multi-omic single-cell data</t>
        </is>
      </c>
      <c r="F23" s="2" t="inlineStr">
        <is>
          <t>Data exploration -&gt; annotation -&gt; hypothesis generation -&gt; cross-cohort validation -&gt; human-AI synthesis</t>
        </is>
      </c>
      <c r="G23" s="2" t="inlineStr">
        <is>
          <t>Agentic biological discovery and human-AI complementarity</t>
        </is>
      </c>
      <c r="H23" s="2" t="inlineStr">
        <is>
          <t>11 cancer types; cell annotation; 64 hypothesis-generalization tasks; autonomous vs copilot experiments</t>
        </is>
      </c>
      <c r="I23" s="2" t="inlineStr">
        <is>
          <t>agent+tools+human</t>
        </is>
      </c>
      <c r="J23" s="2" t="inlineStr">
        <is>
          <t>M3A with literature retrieval, terminal, domain tools, persistent data state and step-level telemetry</t>
        </is>
      </c>
      <c r="K23" s="2" t="inlineStr">
        <is>
          <t>Multi-omic single-cell cohorts + persistent multimodal context</t>
        </is>
      </c>
      <c r="L23" s="2" t="inlineStr">
        <is>
          <t>Annotations, falsifiable hypotheses, analyses, synthesis</t>
        </is>
      </c>
      <c r="M23" s="2" t="inlineStr">
        <is>
          <t>Task performance, hypothesis generalization, copilot effects, trajectory telemetry</t>
        </is>
      </c>
      <c r="N23" s="2" t="inlineStr">
        <is>
          <t>Expert annotations, independent cohorts, domain-expert comparisons</t>
        </is>
      </c>
      <c r="O23" s="2" t="inlineStr">
        <is>
          <t>Real-data computational experiments + human-AI comparison</t>
        </is>
      </c>
      <c r="P23" s="2" t="inlineStr">
        <is>
          <t>No new wet-lab execution</t>
        </is>
      </c>
      <c r="Q23" s="2" t="inlineStr">
        <is>
          <t>Independent biological cohorts used for hypothesis testing; no new physical experiment</t>
        </is>
      </c>
      <c r="R23" s="2" t="inlineStr">
        <is>
          <t>Agents broadly explore complex data; domain experts remain critical for methodological guidance and biological synthesis; rare cell types fail disproportionately.</t>
        </is>
      </c>
      <c r="S23" s="2" t="inlineStr">
        <is>
          <t>Indirect; demonstrates where human expertise remains important in AI-enabled biological workflows.</t>
        </is>
      </c>
      <c r="T23" s="2" t="inlineStr">
        <is>
          <t>Real cancer multi-omic datasets, falsifiable hypotheses, cross-cohort tests, copilot experiments</t>
        </is>
      </c>
      <c r="U23" s="2" t="inlineStr">
        <is>
          <t>High for computational discovery workflow</t>
        </is>
      </c>
      <c r="V23" s="2" t="inlineStr">
        <is>
          <t>Real datasets and domain experts; controlled framework</t>
        </is>
      </c>
      <c r="W23" s="2" t="inlineStr">
        <is>
          <t>High for computational research</t>
        </is>
      </c>
      <c r="X23" s="2" t="inlineStr">
        <is>
          <t>Hypotheses tested across independent cohorts; no broader security prediction</t>
        </is>
      </c>
      <c r="Y23" s="2" t="inlineStr">
        <is>
          <t>Moderate within computational discovery, unknown for security</t>
        </is>
      </c>
      <c r="Z23" s="2" t="inlineStr">
        <is>
          <t>Human-AI configuration effects on biological research quality</t>
        </is>
      </c>
      <c r="AA23" s="2" t="inlineStr">
        <is>
          <t>Indirect</t>
        </is>
      </c>
      <c r="AB23" s="2" t="inlineStr">
        <is>
          <t>Persistent data state and step telemetry explicitly preserved</t>
        </is>
      </c>
      <c r="AC23" s="2" t="inlineStr">
        <is>
          <t>Moderate-high</t>
        </is>
      </c>
      <c r="AD23" s="2" t="inlineStr">
        <is>
          <t>Human role is included, but downstream physical/organizational consequences are not.</t>
        </is>
      </c>
      <c r="AE23" s="2" t="inlineStr">
        <is>
          <t>Strong evidence about discovery workflow composition; biosecurity implication remains extrapolated.</t>
        </is>
      </c>
      <c r="AF23" s="2" t="inlineStr">
        <is>
          <t>Agent+human configuration -&gt; discovery quality -&gt; scientific capability -&gt; downstream beneficial/harmful potential</t>
        </is>
      </c>
      <c r="AG23" s="2" t="inlineStr">
        <is>
          <t>https://www.biorxiv.org/content/10.64898/2026.06.04.729919v1</t>
        </is>
      </c>
      <c r="AH23" s="2" t="inlineStr">
        <is>
          <t>https://www.biorxiv.org/content/10.64898/2026.06.04.729919v1.full</t>
        </is>
      </c>
      <c r="AI23" s="2" t="inlineStr">
        <is>
          <t>Canonical full-text page captured</t>
        </is>
      </c>
      <c r="AJ23" s="2" t="inlineStr">
        <is>
          <t>Important counterexample to autonomy narrative: expertise remains consequential.</t>
        </is>
      </c>
    </row>
    <row r="24">
      <c r="A24" s="2" t="inlineStr">
        <is>
          <t>E23</t>
        </is>
      </c>
      <c r="B24" s="2" t="inlineStr">
        <is>
          <t>PromptBio-Bench</t>
        </is>
      </c>
      <c r="C24" s="2" t="inlineStr">
        <is>
          <t>2026</t>
        </is>
      </c>
      <c r="D24" s="2" t="inlineStr">
        <is>
          <t>Guo et al. / PromptBio Inc.</t>
        </is>
      </c>
      <c r="E24" s="2" t="inlineStr">
        <is>
          <t>End-to-end bioinformatics/data-science workflow automation</t>
        </is>
      </c>
      <c r="F24" s="2" t="inlineStr">
        <is>
          <t>Task specification -&gt; analysis workflow -&gt; output files/results</t>
        </is>
      </c>
      <c r="G24" s="2" t="inlineStr">
        <is>
          <t>Agent readiness for real-world bioinformatics analysis</t>
        </is>
      </c>
      <c r="H24" s="2" t="inlineStr">
        <is>
          <t>194 expert-curated tasks at varied difficulty with structured file comparison</t>
        </is>
      </c>
      <c r="I24" s="2" t="inlineStr">
        <is>
          <t>agent+tools</t>
        </is>
      </c>
      <c r="J24" s="2" t="inlineStr">
        <is>
          <t>Three state-of-the-art bioinformatics agents</t>
        </is>
      </c>
      <c r="K24" s="2" t="inlineStr">
        <is>
          <t>Expert-curated bioinformatics/data science tasks</t>
        </is>
      </c>
      <c r="L24" s="2" t="inlineStr">
        <is>
          <t>Analysis artifacts/files</t>
        </is>
      </c>
      <c r="M24" s="2" t="inlineStr">
        <is>
          <t>Accuracy versus expert reference outputs, stratified by difficulty</t>
        </is>
      </c>
      <c r="N24" s="2" t="inlineStr">
        <is>
          <t>Expert reference answers/files</t>
        </is>
      </c>
      <c r="O24" s="2" t="inlineStr">
        <is>
          <t>Executable benchmark</t>
        </is>
      </c>
      <c r="P24" s="2" t="inlineStr">
        <is>
          <t>No</t>
        </is>
      </c>
      <c r="Q24" s="2" t="inlineStr">
        <is>
          <t>None</t>
        </is>
      </c>
      <c r="R24" s="2" t="inlineStr">
        <is>
          <t>Agents perform comparably at easier levels; accuracy declines markedly at higher difficulty.</t>
        </is>
      </c>
      <c r="S24" s="2" t="inlineStr">
        <is>
          <t>Indirect scientific workflow capability; no direct security claim in abstract.</t>
        </is>
      </c>
      <c r="T24" s="2" t="inlineStr">
        <is>
          <t>Expert tasks, structured artifact comparison, difficulty stratification</t>
        </is>
      </c>
      <c r="U24" s="2" t="inlineStr">
        <is>
          <t>Moderate-high</t>
        </is>
      </c>
      <c r="V24" s="2" t="inlineStr">
        <is>
          <t>End-to-end bioinformatics tasks but curated benchmark environment</t>
        </is>
      </c>
      <c r="W24" s="2" t="inlineStr">
        <is>
          <t>Moderate</t>
        </is>
      </c>
      <c r="X24" s="2" t="inlineStr">
        <is>
          <t>No downstream validation</t>
        </is>
      </c>
      <c r="Y24" s="2" t="inlineStr">
        <is>
          <t>Unknown</t>
        </is>
      </c>
      <c r="Z24" s="2" t="inlineStr">
        <is>
          <t>AI-enabled bioinformatics capability</t>
        </is>
      </c>
      <c r="AA24" s="2" t="inlineStr">
        <is>
          <t>Indirect</t>
        </is>
      </c>
      <c r="AB24" s="2" t="inlineStr">
        <is>
          <t>Task context curated by experts</t>
        </is>
      </c>
      <c r="AC24" s="2" t="inlineStr">
        <is>
          <t>High</t>
        </is>
      </c>
      <c r="AD24" s="2" t="inlineStr">
        <is>
          <t>No human verification, organization, wet lab or downstream action.</t>
        </is>
      </c>
      <c r="AE24" s="2" t="inlineStr">
        <is>
          <t>Demonstrates difficulty-sensitive workflow performance; readiness beyond benchmark remains uncertain.</t>
        </is>
      </c>
      <c r="AF24" s="2" t="inlineStr">
        <is>
          <t>Benchmark success -&gt; bioinformatics automation readiness -&gt; R&amp;D capability -&gt; potential security relevance</t>
        </is>
      </c>
      <c r="AG24" s="2" t="inlineStr">
        <is>
          <t>https://www.biorxiv.org/content/10.64898/2026.05.05.723092v1</t>
        </is>
      </c>
      <c r="AH24" s="2" t="inlineStr">
        <is>
          <t>https://www.biorxiv.org/content/10.64898/2026.05.05.723092v1.full</t>
        </is>
      </c>
      <c r="AI24" s="2" t="inlineStr">
        <is>
          <t>Canonical full-text page captured</t>
        </is>
      </c>
      <c r="AJ24" s="2" t="inlineStr">
        <is>
          <t>Authors all affiliated with PromptBio Inc.; record this as disclosed institutional interest, not automatic bias.</t>
        </is>
      </c>
    </row>
    <row r="25">
      <c r="A25" s="2" t="inlineStr">
        <is>
          <t>E24</t>
        </is>
      </c>
      <c r="B25" s="2" t="inlineStr">
        <is>
          <t>Benchmarking LLM-based Agents for Single-cell Omics Analysis</t>
        </is>
      </c>
      <c r="C25" s="2" t="inlineStr">
        <is>
          <t>2025</t>
        </is>
      </c>
      <c r="D25" s="2" t="inlineStr">
        <is>
          <t>Liu, Zhou, He, Shen, Li</t>
        </is>
      </c>
      <c r="E25" s="2" t="inlineStr">
        <is>
          <t>Single-cell omics analytical-agent performance</t>
        </is>
      </c>
      <c r="F25" s="2" t="inlineStr">
        <is>
          <t>Planning -&gt; code generation -&gt; tool execution -&gt; biological analysis</t>
        </is>
      </c>
      <c r="G25" s="2" t="inlineStr">
        <is>
          <t>Agent capability in realistic single-cell omics workflows</t>
        </is>
      </c>
      <c r="H25" s="2" t="inlineStr">
        <is>
          <t>50 real-world tasks with multidimensional cognitive/program-synthesis/collaboration/execution metrics</t>
        </is>
      </c>
      <c r="I25" s="2" t="inlineStr">
        <is>
          <t>single-agent vs multi-agent</t>
        </is>
      </c>
      <c r="J25" s="2" t="inlineStr">
        <is>
          <t>Multiple agent frameworks and LLMs; ablation of self-reflection, RAG, planning</t>
        </is>
      </c>
      <c r="K25" s="2" t="inlineStr">
        <is>
          <t>Single-cell/multi-omics tasks spanning species and sequencing technologies</t>
        </is>
      </c>
      <c r="L25" s="2" t="inlineStr">
        <is>
          <t>Executable analysis workflows and results</t>
        </is>
      </c>
      <c r="M25" s="2" t="inlineStr">
        <is>
          <t>Task completion quality plus collaboration/execution/coding dimensions</t>
        </is>
      </c>
      <c r="N25" s="2" t="inlineStr">
        <is>
          <t>Benchmark task criteria / expert-defined quality</t>
        </is>
      </c>
      <c r="O25" s="2" t="inlineStr">
        <is>
          <t>Executable computational benchmark + attribution analysis</t>
        </is>
      </c>
      <c r="P25" s="2" t="inlineStr">
        <is>
          <t>No</t>
        </is>
      </c>
      <c r="Q25" s="2" t="inlineStr">
        <is>
          <t>None</t>
        </is>
      </c>
      <c r="R25" s="2" t="inlineStr">
        <is>
          <t>Multi-agent frameworks improved collaboration/execution; code quality was critical; self-reflection had strongest overall impact, followed by RAG/planning.</t>
        </is>
      </c>
      <c r="S25" s="2" t="inlineStr">
        <is>
          <t>Indirect; measures scientific-agent workflow capability.</t>
        </is>
      </c>
      <c r="T25" s="2" t="inlineStr">
        <is>
          <t>Real-world single-cell tasks and multidimensional process metrics</t>
        </is>
      </c>
      <c r="U25" s="2" t="inlineStr">
        <is>
          <t>High for targeted computational workflow</t>
        </is>
      </c>
      <c r="V25" s="2" t="inlineStr">
        <is>
          <t>Executable domain tasks; no lab/organization</t>
        </is>
      </c>
      <c r="W25" s="2" t="inlineStr">
        <is>
          <t>Moderate-high</t>
        </is>
      </c>
      <c r="X25" s="2" t="inlineStr">
        <is>
          <t>No downstream scientific or security validation</t>
        </is>
      </c>
      <c r="Y25" s="2" t="inlineStr">
        <is>
          <t>Unknown</t>
        </is>
      </c>
      <c r="Z25" s="2" t="inlineStr">
        <is>
          <t>Configuration-dependent AI research capability</t>
        </is>
      </c>
      <c r="AA25" s="2" t="inlineStr">
        <is>
          <t>Indirect</t>
        </is>
      </c>
      <c r="AB25" s="2" t="inlineStr">
        <is>
          <t>Knowledge retrieval and context handling are explicit measured factors</t>
        </is>
      </c>
      <c r="AC25" s="2" t="inlineStr">
        <is>
          <t>High</t>
        </is>
      </c>
      <c r="AD25" s="2" t="inlineStr">
        <is>
          <t>No physical or organizational layer; multi-agent effects may differ in deployment.</t>
        </is>
      </c>
      <c r="AE25" s="2" t="inlineStr">
        <is>
          <t>Good evidence for architecture/process determinants; security interpretation is extrapolated.</t>
        </is>
      </c>
      <c r="AF25" s="2" t="inlineStr">
        <is>
          <t>Agent architecture/process -&gt; analysis success -&gt; scientific capability -&gt; possible downstream risk/benefit</t>
        </is>
      </c>
      <c r="AG25" s="2" t="inlineStr">
        <is>
          <t>https://arxiv.org/abs/2508.13201</t>
        </is>
      </c>
      <c r="AH25" s="2" t="inlineStr">
        <is>
          <t>https://arxiv.org/abs/2508.13201</t>
        </is>
      </c>
      <c r="AI25" s="2" t="inlineStr">
        <is>
          <t>Canonical arXiv page captured</t>
        </is>
      </c>
      <c r="AJ25" s="2" t="inlineStr">
        <is>
          <t>Useful for relational variable: collaboration and self-reflection.</t>
        </is>
      </c>
    </row>
    <row r="26">
      <c r="A26" s="2" t="inlineStr">
        <is>
          <t>E25</t>
        </is>
      </c>
      <c r="B26" s="2" t="inlineStr">
        <is>
          <t>Open-Rosalind</t>
        </is>
      </c>
      <c r="C26" s="2" t="inlineStr">
        <is>
          <t>2026</t>
        </is>
      </c>
      <c r="D26" s="2" t="inlineStr">
        <is>
          <t>Liang Wang et al.</t>
        </is>
      </c>
      <c r="E26" s="2" t="inlineStr">
        <is>
          <t>Auditable biomedical agents under constrained tool mediation</t>
        </is>
      </c>
      <c r="F26" s="2" t="inlineStr">
        <is>
          <t>Evidence retrieval -&gt; tool-mediated analysis -&gt; trace -&gt; factual claim</t>
        </is>
      </c>
      <c r="G26" s="2" t="inlineStr">
        <is>
          <t>Reliable/auditable biomedical agent execution</t>
        </is>
      </c>
      <c r="H26" s="2" t="inlineStr">
        <is>
          <t>Process-aware benchmark emphasizing evidence grounding, trace completeness, workflow constraints, explicit tool mediation</t>
        </is>
      </c>
      <c r="I26" s="2" t="inlineStr">
        <is>
          <t>agent+tools+constraints</t>
        </is>
      </c>
      <c r="J26" s="2" t="inlineStr">
        <is>
          <t>Tool-first biomedical agent with constrained execution</t>
        </is>
      </c>
      <c r="K26" s="2" t="inlineStr">
        <is>
          <t>Biomedical tasks plus approved tools/evidence sources</t>
        </is>
      </c>
      <c r="L26" s="2" t="inlineStr">
        <is>
          <t>Tool-mediated analyses, claims, audit traces</t>
        </is>
      </c>
      <c r="M26" s="2" t="inlineStr">
        <is>
          <t>Process-aware scores and task outcomes</t>
        </is>
      </c>
      <c r="N26" s="2" t="inlineStr">
        <is>
          <t>Task-specific reference/evidence and process constraints</t>
        </is>
      </c>
      <c r="O26" s="2" t="inlineStr">
        <is>
          <t>Agent-system benchmark</t>
        </is>
      </c>
      <c r="P26" s="2" t="inlineStr">
        <is>
          <t>No</t>
        </is>
      </c>
      <c r="Q26" s="2" t="inlineStr">
        <is>
          <t>None</t>
        </is>
      </c>
      <c r="R26" s="2" t="inlineStr">
        <is>
          <t>System evaluates whether constrained, auditable execution can preserve evidence grounding and traceability.</t>
        </is>
      </c>
      <c r="S26" s="2" t="inlineStr">
        <is>
          <t>Indirect; architecture may reduce uncontrolled agent behavior and improve scientific accountability.</t>
        </is>
      </c>
      <c r="T26" s="2" t="inlineStr">
        <is>
          <t>Explicit process constraints tied to biomedical research requirements</t>
        </is>
      </c>
      <c r="U26" s="2" t="inlineStr">
        <is>
          <t>Moderate-high</t>
        </is>
      </c>
      <c r="V26" s="2" t="inlineStr">
        <is>
          <t>Tool-mediated workflow resembles computational research but remains benchmark setting</t>
        </is>
      </c>
      <c r="W26" s="2" t="inlineStr">
        <is>
          <t>Moderate</t>
        </is>
      </c>
      <c r="X26" s="2" t="inlineStr">
        <is>
          <t>No real-world safety outcome validation established in abstract</t>
        </is>
      </c>
      <c r="Y26" s="2" t="inlineStr">
        <is>
          <t>Unknown</t>
        </is>
      </c>
      <c r="Z26" s="2" t="inlineStr">
        <is>
          <t>Auditability/control in scientific agents</t>
        </is>
      </c>
      <c r="AA26" s="2" t="inlineStr">
        <is>
          <t>Architectural/indirect</t>
        </is>
      </c>
      <c r="AB26" s="2" t="inlineStr">
        <is>
          <t>Evidence grounding and trace completeness are explicit design goals</t>
        </is>
      </c>
      <c r="AC26" s="2" t="inlineStr">
        <is>
          <t>Moderate</t>
        </is>
      </c>
      <c r="AD26" s="2" t="inlineStr">
        <is>
          <t>Captures technical control relationships but not human/organizational response.</t>
        </is>
      </c>
      <c r="AE26" s="2" t="inlineStr">
        <is>
          <t>Demonstrates auditable constrained architecture, not reduced real-world biosecurity risk.</t>
        </is>
      </c>
      <c r="AF26" s="2" t="inlineStr">
        <is>
          <t>Tool mediation + trace -&gt; accountable execution -&gt; fewer hidden errors -&gt; safer scientific-agent use</t>
        </is>
      </c>
      <c r="AG26" s="2" t="inlineStr">
        <is>
          <t>https://www.biorxiv.org/content/10.64898/2026.05.06.722404v1</t>
        </is>
      </c>
      <c r="AH26" s="2" t="inlineStr">
        <is>
          <t>https://www.biorxiv.org/content/10.64898/2026.05.06.722404v1.full</t>
        </is>
      </c>
      <c r="AI26" s="2" t="inlineStr">
        <is>
          <t>Canonical full-text page captured</t>
        </is>
      </c>
      <c r="AJ26" s="2" t="inlineStr">
        <is>
          <t>Potential security-design case rather than pure capability benchmark.</t>
        </is>
      </c>
    </row>
    <row r="27">
      <c r="A27" s="2" t="inlineStr">
        <is>
          <t>E26</t>
        </is>
      </c>
      <c r="B27" s="2" t="inlineStr">
        <is>
          <t>Can AI Conduct Autonomous Scientific Research? Case Studies on Two Real-World Tasks</t>
        </is>
      </c>
      <c r="C27" s="2" t="inlineStr">
        <is>
          <t>2026</t>
        </is>
      </c>
      <c r="D27" s="2" t="inlineStr">
        <is>
          <t>Authors per bioRxiv 2026.01.05.697809</t>
        </is>
      </c>
      <c r="E27" s="2" t="inlineStr">
        <is>
          <t>Claims of autonomous end-to-end scientific research</t>
        </is>
      </c>
      <c r="F27" s="2" t="inlineStr">
        <is>
          <t>Planning -&gt; code execution -&gt; genuine result generation -&gt; manuscript</t>
        </is>
      </c>
      <c r="G27" s="2" t="inlineStr">
        <is>
          <t>True autonomous scientific execution</t>
        </is>
      </c>
      <c r="H27" s="2" t="inlineStr">
        <is>
          <t>Direct attempt to complete two real-world scientific tasks with existing autonomous-research frameworks</t>
        </is>
      </c>
      <c r="I27" s="2" t="inlineStr">
        <is>
          <t>agent-frameworks</t>
        </is>
      </c>
      <c r="J27" s="2" t="inlineStr">
        <is>
          <t>Multiple claimed autonomous-research systems evaluated on real tasks</t>
        </is>
      </c>
      <c r="K27" s="2" t="inlineStr">
        <is>
          <t>Real scientific tasks/papers</t>
        </is>
      </c>
      <c r="L27" s="2" t="inlineStr">
        <is>
          <t>Plans, code attempts, analyses, manuscripts</t>
        </is>
      </c>
      <c r="M27" s="2" t="inlineStr">
        <is>
          <t>Whether a full scientific research cycle is actually completed with genuine results</t>
        </is>
      </c>
      <c r="N27" s="2" t="inlineStr">
        <is>
          <t>Real executable tasks and genuine computational results</t>
        </is>
      </c>
      <c r="O27" s="2" t="inlineStr">
        <is>
          <t>Adversarial/reality-check case study</t>
        </is>
      </c>
      <c r="P27" s="2" t="inlineStr">
        <is>
          <t>No</t>
        </is>
      </c>
      <c r="Q27" s="2" t="inlineStr">
        <is>
          <t>None</t>
        </is>
      </c>
      <c r="R27" s="2" t="inlineStr">
        <is>
          <t>None of evaluated frameworks completed a full research cycle; some generated manuscripts with fabricated results or unexecuted code/templates.</t>
        </is>
      </c>
      <c r="S27" s="2" t="inlineStr">
        <is>
          <t>Indirect but highly relevant to validity of capability claims.</t>
        </is>
      </c>
      <c r="T27" s="2" t="inlineStr">
        <is>
          <t>Directly tests advertised end-to-end autonomy against real execution</t>
        </is>
      </c>
      <c r="U27" s="2" t="inlineStr">
        <is>
          <t>High for autonomy claim validation</t>
        </is>
      </c>
      <c r="V27" s="2" t="inlineStr">
        <is>
          <t>Real-world tasks rather than synthetic benchmark</t>
        </is>
      </c>
      <c r="W27" s="2" t="inlineStr">
        <is>
          <t>High computationally</t>
        </is>
      </c>
      <c r="X27" s="2" t="inlineStr">
        <is>
          <t>Shows advertised capability can fail under direct execution; no security outcome</t>
        </is>
      </c>
      <c r="Y27" s="2" t="inlineStr">
        <is>
          <t>Moderate for falsifying autonomy claims</t>
        </is>
      </c>
      <c r="Z27" s="2" t="inlineStr">
        <is>
          <t>Avoiding overestimation of autonomous scientific capability/risk</t>
        </is>
      </c>
      <c r="AA27" s="2" t="inlineStr">
        <is>
          <t>Indirect</t>
        </is>
      </c>
      <c r="AB27" s="2" t="inlineStr">
        <is>
          <t>Focuses on executable artifacts rather than narrative claims</t>
        </is>
      </c>
      <c r="AC27" s="2" t="inlineStr">
        <is>
          <t>Moderate</t>
        </is>
      </c>
      <c r="AD27" s="2" t="inlineStr">
        <is>
          <t>Computational execution tested; physical lab and institutional context not included.</t>
        </is>
      </c>
      <c r="AE27" s="2" t="inlineStr">
        <is>
          <t>Paper specifically demonstrates a large gap between prior framework claims and actual execution.</t>
        </is>
      </c>
      <c r="AF27" s="2" t="inlineStr">
        <is>
          <t>Advertised autonomy -&gt; real-task test -&gt; failure to execute -&gt; revise capability inference -&gt; better risk calibration</t>
        </is>
      </c>
      <c r="AG27" s="2" t="inlineStr">
        <is>
          <t>https://www.biorxiv.org/content/10.64898/2026.01.05.697809v1</t>
        </is>
      </c>
      <c r="AH27" s="2" t="inlineStr">
        <is>
          <t>https://www.biorxiv.org/content/10.64898/2026.01.05.697809v1.full</t>
        </is>
      </c>
      <c r="AI27" s="2" t="inlineStr">
        <is>
          <t>Canonical full-text page captured</t>
        </is>
      </c>
      <c r="AJ27" s="2" t="inlineStr">
        <is>
          <t>Important falsifying case for overclaim analysis.</t>
        </is>
      </c>
    </row>
    <row r="28">
      <c r="A28" s="2" t="inlineStr">
        <is>
          <t>E27</t>
        </is>
      </c>
      <c r="B28" s="2" t="inlineStr">
        <is>
          <t>Compiler-Verified Protocols for Real-World AI Execution</t>
        </is>
      </c>
      <c r="C28" s="2" t="inlineStr">
        <is>
          <t>2026</t>
        </is>
      </c>
      <c r="D28" s="2" t="inlineStr">
        <is>
          <t>Song et al.</t>
        </is>
      </c>
      <c r="E28" s="2" t="inlineStr">
        <is>
          <t>Translation of laboratory protocols into reproducible executable representations</t>
        </is>
      </c>
      <c r="F28" s="2" t="inlineStr">
        <is>
          <t>Protocol specification -&gt; compilation/verification -&gt; manual or liquid-handler execution</t>
        </is>
      </c>
      <c r="G28" s="2" t="inlineStr">
        <is>
          <t>Cross-platform executable protocol fidelity</t>
        </is>
      </c>
      <c r="H28" s="2" t="inlineStr">
        <is>
          <t>Biological Protocol Language (BPL) compiled and validated across contexts</t>
        </is>
      </c>
      <c r="I28" s="2" t="inlineStr">
        <is>
          <t>AI/protocol+automation</t>
        </is>
      </c>
      <c r="J28" s="2" t="inlineStr">
        <is>
          <t>Compiler-verified protocol source executed manually and with liquid-handler assistance</t>
        </is>
      </c>
      <c r="K28" s="2" t="inlineStr">
        <is>
          <t>Protocol definitions for GFP library construction and chromatography method translation</t>
        </is>
      </c>
      <c r="L28" s="2" t="inlineStr">
        <is>
          <t>Executable protocols / laboratory procedures</t>
        </is>
      </c>
      <c r="M28" s="2" t="inlineStr">
        <is>
          <t>Reproducible execution across platforms/contexts</t>
        </is>
      </c>
      <c r="N28" s="2" t="inlineStr">
        <is>
          <t>Expected laboratory outputs and cross-platform consistency</t>
        </is>
      </c>
      <c r="O28" s="2" t="inlineStr">
        <is>
          <t>Wet-lab / cross-platform validation</t>
        </is>
      </c>
      <c r="P28" s="2" t="inlineStr">
        <is>
          <t>Yes</t>
        </is>
      </c>
      <c r="Q28" s="2" t="inlineStr">
        <is>
          <t>Core: wet-lab and cross-platform execution validates protocol semantics</t>
        </is>
      </c>
      <c r="R28" s="2" t="inlineStr">
        <is>
          <t>Single protocol source produced reproducible execution across manual and liquid-handler contexts in reported case studies.</t>
        </is>
      </c>
      <c r="S28" s="2" t="inlineStr">
        <is>
          <t>Not primarily biosecurity; relevant to digital-to-physical execution reliability and observability.</t>
        </is>
      </c>
      <c r="T28" s="2" t="inlineStr">
        <is>
          <t>Actual laboratory execution from compiler-verified representation</t>
        </is>
      </c>
      <c r="U28" s="2" t="inlineStr">
        <is>
          <t>High for protocol-execution fidelity</t>
        </is>
      </c>
      <c r="V28" s="2" t="inlineStr">
        <is>
          <t>Real wet-lab/automation contexts</t>
        </is>
      </c>
      <c r="W28" s="2" t="inlineStr">
        <is>
          <t>High within tested workflows</t>
        </is>
      </c>
      <c r="X28" s="2" t="inlineStr">
        <is>
          <t>Limited number of workflows; broader generalization unknown</t>
        </is>
      </c>
      <c r="Y28" s="2" t="inlineStr">
        <is>
          <t>Moderate/unknown</t>
        </is>
      </c>
      <c r="Z28" s="2" t="inlineStr">
        <is>
          <t>Reliable and auditable digital-to-physical biological execution</t>
        </is>
      </c>
      <c r="AA28" s="2" t="inlineStr">
        <is>
          <t>Indirect design relevance</t>
        </is>
      </c>
      <c r="AB28" s="2" t="inlineStr">
        <is>
          <t>Compiler representation preserves explicit execution semantics</t>
        </is>
      </c>
      <c r="AC28" s="2" t="inlineStr">
        <is>
          <t>Moderate</t>
        </is>
      </c>
      <c r="AD28" s="2" t="inlineStr">
        <is>
          <t>Strong technical boundary coverage; human/organizational misuse context outside scope.</t>
        </is>
      </c>
      <c r="AE28" s="2" t="inlineStr">
        <is>
          <t>Physical validation supports execution claim; broader autonomous-biology implications remain forward-looking.</t>
        </is>
      </c>
      <c r="AF28" s="2" t="inlineStr">
        <is>
          <t>Verified protocol representation -&gt; faithful cross-platform execution -&gt; reliable automation -&gt; autonomous biology capability/control implications</t>
        </is>
      </c>
      <c r="AG28" s="2" t="inlineStr">
        <is>
          <t>https://www.biorxiv.org/content/10.64898/2026.05.05.720956v1</t>
        </is>
      </c>
      <c r="AH28" s="2" t="inlineStr">
        <is>
          <t>https://www.biorxiv.org/content/10.64898/2026.05.05.720956v1.full</t>
        </is>
      </c>
      <c r="AI28" s="2" t="inlineStr">
        <is>
          <t>Canonical full-text page captured</t>
        </is>
      </c>
      <c r="AJ28" s="2" t="inlineStr">
        <is>
          <t>Strong example where physical validation closes an otherwise missing arrow.</t>
        </is>
      </c>
    </row>
    <row r="29">
      <c r="A29" s="2" t="inlineStr">
        <is>
          <t>E28</t>
        </is>
      </c>
      <c r="B29" s="2" t="inlineStr">
        <is>
          <t>CRISPR-GPT / Gene-editing bench</t>
        </is>
      </c>
      <c r="C29" s="2" t="inlineStr">
        <is>
          <t>2025-2026</t>
        </is>
      </c>
      <c r="D29" s="2" t="inlineStr">
        <is>
          <t>Qu et al.</t>
        </is>
      </c>
      <c r="E29" s="2" t="inlineStr">
        <is>
          <t>AI-guided end-to-end CRISPR experiment design, tool use, and analysis</t>
        </is>
      </c>
      <c r="F29" s="2" t="inlineStr">
        <is>
          <t>System selection -&gt; delivery -&gt; gRNA design -&gt; protocol/assay planning -&gt; wet-lab execution -&gt; analysis</t>
        </is>
      </c>
      <c r="G29" s="2" t="inlineStr">
        <is>
          <t>Practical gene-editing copilot capability</t>
        </is>
      </c>
      <c r="H29" s="2" t="inlineStr">
        <is>
          <t>288-case Gene-editing bench + blinded expert ratings + real wet-lab demonstrations</t>
        </is>
      </c>
      <c r="I29" s="2" t="inlineStr">
        <is>
          <t>agent+tools+human+physical</t>
        </is>
      </c>
      <c r="J29" s="2" t="inlineStr">
        <is>
          <t>Multi-agent CRISPR-GPT with planner, task executor, user proxy, tools, RAG and human interaction</t>
        </is>
      </c>
      <c r="K29" s="2" t="inlineStr">
        <is>
          <t>User goal, literature, expert knowledge, tools/databases</t>
        </is>
      </c>
      <c r="L29" s="2" t="inlineStr">
        <is>
          <t>Experiment plans, gRNAs, protocols, analysis guidance</t>
        </is>
      </c>
      <c r="M29" s="2" t="inlineStr">
        <is>
          <t>Benchmark accuracy/expert ratings and successful gene-editing experiments</t>
        </is>
      </c>
      <c r="N29" s="2" t="inlineStr">
        <is>
          <t>Human-expert ground truth, baseline general LLMs, biological phenotype/editing validation</t>
        </is>
      </c>
      <c r="O29" s="2" t="inlineStr">
        <is>
          <t>Benchmark + blinded expert evaluation + wet-lab execution</t>
        </is>
      </c>
      <c r="P29" s="2" t="inlineStr">
        <is>
          <t>Yes</t>
        </is>
      </c>
      <c r="Q29" s="2" t="inlineStr">
        <is>
          <t>Core: junior researchers executed AI-guided experiments; editing/phenotype/protein validation reported</t>
        </is>
      </c>
      <c r="R29" s="2" t="inlineStr">
        <is>
          <t>CRISPR-GPT outperformed baseline LLMs on several tasks and supported successful first-attempt AI-guided knockout/activation experiments by junior researchers.</t>
        </is>
      </c>
      <c r="S29" s="2" t="inlineStr">
        <is>
          <t>Not framed primarily as biosecurity; directly relevant to biological capability uplift and human-AI workflow composition.</t>
        </is>
      </c>
      <c r="T29" s="2" t="inlineStr">
        <is>
          <t>Multiple task-specific benchmarks plus real physical execution</t>
        </is>
      </c>
      <c r="U29" s="2" t="inlineStr">
        <is>
          <t>High for tested gene-editing support</t>
        </is>
      </c>
      <c r="V29" s="2" t="inlineStr">
        <is>
          <t>Human users and real wet-lab experiments</t>
        </is>
      </c>
      <c r="W29" s="2" t="inlineStr">
        <is>
          <t>High within selected gene-editing workflows</t>
        </is>
      </c>
      <c r="X29" s="2" t="inlineStr">
        <is>
          <t>Physical execution confirms some benchmark-relevant capability; generalization to other experiments/users unknown</t>
        </is>
      </c>
      <c r="Y29" s="2" t="inlineStr">
        <is>
          <t>Moderate-high for tested workflows</t>
        </is>
      </c>
      <c r="Z29" s="2" t="inlineStr">
        <is>
          <t>Lowering expertise/friction for gene-editing workflows</t>
        </is>
      </c>
      <c r="AA29" s="2" t="inlineStr">
        <is>
          <t>Capability linkage direct; harm/security linkage not directly tested</t>
        </is>
      </c>
      <c r="AB29" s="2" t="inlineStr">
        <is>
          <t>Expert-reviewed knowledge, literature retrieval, tools, user feedback</t>
        </is>
      </c>
      <c r="AC29" s="2" t="inlineStr">
        <is>
          <t>Moderate</t>
        </is>
      </c>
      <c r="AD29" s="2" t="inlineStr">
        <is>
          <t>Technical+human+physical boundary unusually broad, but misuse scenarios and organizational safeguards outside study.</t>
        </is>
      </c>
      <c r="AE29" s="2" t="inlineStr">
        <is>
          <t>Substantially smaller than model-only benchmarks for workflow capability; security consequence remains inferred.</t>
        </is>
      </c>
      <c r="AF29" s="2" t="inlineStr">
        <is>
          <t>Agent+expert context+tools -&gt; junior-user experiment support -&gt; successful gene editing -&gt; capability uplift -&gt; possible security implications</t>
        </is>
      </c>
      <c r="AG29" s="2" t="inlineStr">
        <is>
          <t>https://www.nature.com/articles/s41551-025-01463-z</t>
        </is>
      </c>
      <c r="AH29" s="2" t="inlineStr">
        <is>
          <t>https://www.nature.com/articles/s41551-025-01463-z</t>
        </is>
      </c>
      <c r="AI29" s="2" t="inlineStr">
        <is>
          <t>Open-access publisher page captured</t>
        </is>
      </c>
      <c r="AJ29" s="2" t="inlineStr">
        <is>
          <t>Excellent case for workflow-level capability formation.</t>
        </is>
      </c>
    </row>
    <row r="30">
      <c r="A30" s="2" t="inlineStr">
        <is>
          <t>E29</t>
        </is>
      </c>
      <c r="B30" s="2" t="inlineStr">
        <is>
          <t>AI Co-Scientist wet-lab validation</t>
        </is>
      </c>
      <c r="C30" s="2" t="inlineStr">
        <is>
          <t>2026</t>
        </is>
      </c>
      <c r="D30" s="2" t="inlineStr">
        <is>
          <t>Google Research / collaborators</t>
        </is>
      </c>
      <c r="E30" s="2" t="inlineStr">
        <is>
          <t>Multi-agent hypothesis generation and scientific proposal quality with end-to-end biomedical validation</t>
        </is>
      </c>
      <c r="F30" s="2" t="inlineStr">
        <is>
          <t>Question -&gt; multi-agent generation/reflection/ranking -&gt; proposal -&gt; wet-lab validation</t>
        </is>
      </c>
      <c r="G30" s="2" t="inlineStr">
        <is>
          <t>Scientific discovery capability of multi-agent AI system</t>
        </is>
      </c>
      <c r="H30" s="2" t="inlineStr">
        <is>
          <t>Architecture ablations, expert evaluation, and wet-lab validation in drug repurposing, target identification and AMR mechanism work</t>
        </is>
      </c>
      <c r="I30" s="2" t="inlineStr">
        <is>
          <t>multi-agent+human+physical</t>
        </is>
      </c>
      <c r="J30" s="2" t="inlineStr">
        <is>
          <t>Specialized generation/reflection/ranking/evolution/meta-review agents with expert supervision</t>
        </is>
      </c>
      <c r="K30" s="2" t="inlineStr">
        <is>
          <t>Scientific question + literature/context + persistent memory</t>
        </is>
      </c>
      <c r="L30" s="2" t="inlineStr">
        <is>
          <t>Hypotheses/research proposals</t>
        </is>
      </c>
      <c r="M30" s="2" t="inlineStr">
        <is>
          <t>Expert assessment and physical validation of selected predictions</t>
        </is>
      </c>
      <c r="N30" s="2" t="inlineStr">
        <is>
          <t>Domain experts and wet-lab experimental outcomes</t>
        </is>
      </c>
      <c r="O30" s="2" t="inlineStr">
        <is>
          <t>System evaluation + ablation + expert review + wet-lab validation</t>
        </is>
      </c>
      <c r="P30" s="2" t="inlineStr">
        <is>
          <t>Yes</t>
        </is>
      </c>
      <c r="Q30" s="2" t="inlineStr">
        <is>
          <t>Core for selected hypotheses across three biomedical applications</t>
        </is>
      </c>
      <c r="R30" s="2" t="inlineStr">
        <is>
          <t>Selected AI-generated hypotheses/proposals were carried through wet-lab validation; component ablations tested architecture contribution.</t>
        </is>
      </c>
      <c r="S30" s="2" t="inlineStr">
        <is>
          <t>Indirect; demonstrates increasingly actionable biological discovery capability.</t>
        </is>
      </c>
      <c r="T30" s="2" t="inlineStr">
        <is>
          <t>Expert evaluation plus physical validation and architecture ablations</t>
        </is>
      </c>
      <c r="U30" s="2" t="inlineStr">
        <is>
          <t>High for selected discovery cases</t>
        </is>
      </c>
      <c r="V30" s="2" t="inlineStr">
        <is>
          <t>Real biomedical questions and experiments</t>
        </is>
      </c>
      <c r="W30" s="2" t="inlineStr">
        <is>
          <t>High for selected settings</t>
        </is>
      </c>
      <c r="X30" s="2" t="inlineStr">
        <is>
          <t>Selected hypothesis validation; selection effects and generalization limit broad prediction</t>
        </is>
      </c>
      <c r="Y30" s="2" t="inlineStr">
        <is>
          <t>Moderate</t>
        </is>
      </c>
      <c r="Z30" s="2" t="inlineStr">
        <is>
          <t>AI-enabled generation of actionable biological hypotheses</t>
        </is>
      </c>
      <c r="AA30" s="2" t="inlineStr">
        <is>
          <t>Capability linkage direct; security/harm linkage indirect</t>
        </is>
      </c>
      <c r="AB30" s="2" t="inlineStr">
        <is>
          <t>Persistent context memory and expert supervision included</t>
        </is>
      </c>
      <c r="AC30" s="2" t="inlineStr">
        <is>
          <t>Moderate</t>
        </is>
      </c>
      <c r="AD30" s="2" t="inlineStr">
        <is>
          <t>Includes physical validation but not adversarial intent or security controls.</t>
        </is>
      </c>
      <c r="AE30" s="2" t="inlineStr">
        <is>
          <t>Smaller for discovery capability than static benchmarks; catastrophic/security extrapolation would remain large.</t>
        </is>
      </c>
      <c r="AF30" s="2" t="inlineStr">
        <is>
          <t>Multi-agent reasoning -&gt; high-quality hypothesis -&gt; wet-lab validation -&gt; increased discovery capability -&gt; possible downstream risk/benefit</t>
        </is>
      </c>
      <c r="AG30" s="2" t="inlineStr">
        <is>
          <t>https://www.nature.com/articles/s41586-026-10644-y</t>
        </is>
      </c>
      <c r="AH30" s="2" t="inlineStr">
        <is>
          <t>https://www.nature.com/articles/s41586-026-10644-y</t>
        </is>
      </c>
      <c r="AI30" s="2" t="inlineStr">
        <is>
          <t>Publisher page captured</t>
        </is>
      </c>
      <c r="AJ30" s="2" t="inlineStr">
        <is>
          <t>Strong physical-validation case; selected-case nature should be retained.</t>
        </is>
      </c>
    </row>
    <row r="31">
      <c r="A31" s="2" t="inlineStr">
        <is>
          <t>E30</t>
        </is>
      </c>
      <c r="B31" s="2" t="inlineStr">
        <is>
          <t>BioMedAgent / BioMed-AQA</t>
        </is>
      </c>
      <c r="C31" s="2" t="inlineStr">
        <is>
          <t>2026</t>
        </is>
      </c>
      <c r="D31" s="2" t="inlineStr">
        <is>
          <t>Authors of BioMedAgent, Nature Biomedical Engineering</t>
        </is>
      </c>
      <c r="E31" s="2" t="inlineStr">
        <is>
          <t>Autonomous tool-aware biomedical data analysis</t>
        </is>
      </c>
      <c r="F31" s="2" t="inlineStr">
        <is>
          <t>Natural-language request -&gt; tool discovery/use -&gt; multistep analysis -&gt; result</t>
        </is>
      </c>
      <c r="G31" s="2" t="inlineStr">
        <is>
          <t>Generalizable biomedical analysis-agent capability</t>
        </is>
      </c>
      <c r="H31" s="2" t="inlineStr">
        <is>
          <t>327-task BioMed-AQA benchmark + external BixBench generalization + cross-omics/ML/imaging demonstrations</t>
        </is>
      </c>
      <c r="I31" s="2" t="inlineStr">
        <is>
          <t>multi-agent+tools+memory</t>
        </is>
      </c>
      <c r="J31" s="2" t="inlineStr">
        <is>
          <t>Self-evolving multi-agent framework with interactive exploration and memory retrieval</t>
        </is>
      </c>
      <c r="K31" s="2" t="inlineStr">
        <is>
          <t>Biomedical tasks/data and available bioinformatics tools</t>
        </is>
      </c>
      <c r="L31" s="2" t="inlineStr">
        <is>
          <t>Executable workflows/analyses</t>
        </is>
      </c>
      <c r="M31" s="2" t="inlineStr">
        <is>
          <t>Task success rate, external benchmark generalization, demonstration tasks</t>
        </is>
      </c>
      <c r="N31" s="2" t="inlineStr">
        <is>
          <t>Task-specific benchmark references and BixBench</t>
        </is>
      </c>
      <c r="O31" s="2" t="inlineStr">
        <is>
          <t>Executable benchmark + external validation/demonstrations</t>
        </is>
      </c>
      <c r="P31" s="2" t="inlineStr">
        <is>
          <t>No</t>
        </is>
      </c>
      <c r="Q31" s="2" t="inlineStr">
        <is>
          <t>None</t>
        </is>
      </c>
      <c r="R31" s="2" t="inlineStr">
        <is>
          <t>Reported 77% BioMed-AQA success and generalization to external BixBench; autonomous cross-omics, ML and pathology-image tasks demonstrated.</t>
        </is>
      </c>
      <c r="S31" s="2" t="inlineStr">
        <is>
          <t>Indirect scientific automation capability.</t>
        </is>
      </c>
      <c r="T31" s="2" t="inlineStr">
        <is>
          <t>Tool-aware executable tasks and external benchmark generalization</t>
        </is>
      </c>
      <c r="U31" s="2" t="inlineStr">
        <is>
          <t>High for biomedical computational analysis</t>
        </is>
      </c>
      <c r="V31" s="2" t="inlineStr">
        <is>
          <t>Real tools and data workflows; no physical lab</t>
        </is>
      </c>
      <c r="W31" s="2" t="inlineStr">
        <is>
          <t>Moderate-high</t>
        </is>
      </c>
      <c r="X31" s="2" t="inlineStr">
        <is>
          <t>External benchmark generalization provides limited cross-dataset evidence</t>
        </is>
      </c>
      <c r="Y31" s="2" t="inlineStr">
        <is>
          <t>Moderate for computational tasks</t>
        </is>
      </c>
      <c r="Z31" s="2" t="inlineStr">
        <is>
          <t>Scalable biomedical computational capability</t>
        </is>
      </c>
      <c r="AA31" s="2" t="inlineStr">
        <is>
          <t>Indirect</t>
        </is>
      </c>
      <c r="AB31" s="2" t="inlineStr">
        <is>
          <t>Memory retrieval and interactive tool exploration are explicit mechanisms</t>
        </is>
      </c>
      <c r="AC31" s="2" t="inlineStr">
        <is>
          <t>High</t>
        </is>
      </c>
      <c r="AD31" s="2" t="inlineStr">
        <is>
          <t>No human decision, organizational constraint, or physical action layer.</t>
        </is>
      </c>
      <c r="AE31" s="2" t="inlineStr">
        <is>
          <t>Good computational capability evidence; broader scientific/autonomy/security implications remain wider.</t>
        </is>
      </c>
      <c r="AF31" s="2" t="inlineStr">
        <is>
          <t>Self-evolving tool use -&gt; better analysis performance/generalization -&gt; increased research capability -&gt; potential downstream implications</t>
        </is>
      </c>
      <c r="AG31" s="2" t="inlineStr">
        <is>
          <t>https://www.nature.com/articles/s41551-026-01634-6</t>
        </is>
      </c>
      <c r="AH31" s="2" t="inlineStr">
        <is>
          <t>https://www.nature.com/articles/s41551-026-01634-6</t>
        </is>
      </c>
      <c r="AI31" s="2" t="inlineStr">
        <is>
          <t>Publisher page captured</t>
        </is>
      </c>
      <c r="AJ31" s="2" t="inlineStr">
        <is>
          <t>Useful evidence for feedback/memory/update capacity inside agent architecture.</t>
        </is>
      </c>
    </row>
    <row r="32">
      <c r="A32" s="2" t="inlineStr">
        <is>
          <t>E31</t>
        </is>
      </c>
      <c r="B32" s="2" t="inlineStr">
        <is>
          <t>Measuring Mid-2025 LLM-Assistance on Novice Performance in Biology</t>
        </is>
      </c>
      <c r="C32" s="2" t="n">
        <v>2026</v>
      </c>
      <c r="D32" s="2" t="inlineStr">
        <is>
          <t>Hong et al. / Active Site and collaborators</t>
        </is>
      </c>
      <c r="E32" s="2" t="inlineStr">
        <is>
          <t>Human biological uplift in physical lab</t>
        </is>
      </c>
      <c r="F32" s="2" t="inlineStr">
        <is>
          <t>multi-step wet-lab workflow</t>
        </is>
      </c>
      <c r="G32" s="2" t="inlineStr">
        <is>
          <t>Causal effect of LLM access on novice ability to complete complex biological procedures</t>
        </is>
      </c>
      <c r="H32" s="2" t="inlineStr">
        <is>
          <t>RCT completion and milestone success in reverse-genetics-like tasks</t>
        </is>
      </c>
      <c r="I32" s="2" t="inlineStr">
        <is>
          <t>human+AI+physical</t>
        </is>
      </c>
      <c r="J32" s="2" t="inlineStr">
        <is>
          <t>153 novices randomized to frontier LLM+internet vs internet-only in BSL-2 lab</t>
        </is>
      </c>
      <c r="K32" s="2" t="inlineStr">
        <is>
          <t>Internet resources; treatment also frontier LLMs; standardized training and physical lab access</t>
        </is>
      </c>
      <c r="L32" s="2" t="inlineStr">
        <is>
          <t>Physical task execution across cell culture, cloning, virus production, RNA quantification</t>
        </is>
      </c>
      <c r="M32" s="2" t="inlineStr">
        <is>
          <t>Workflow completion and task-level/intermediate milestone success</t>
        </is>
      </c>
      <c r="N32" s="2" t="inlineStr">
        <is>
          <t>Internet-only randomized control</t>
        </is>
      </c>
      <c r="O32" s="2" t="inlineStr">
        <is>
          <t>Pre-registered investigator-blinded wet-lab RCT</t>
        </is>
      </c>
      <c r="P32" s="2" t="inlineStr">
        <is>
          <t>Yes</t>
        </is>
      </c>
      <c r="Q32" s="2" t="inlineStr">
        <is>
          <t>Core endpoint</t>
        </is>
      </c>
      <c r="R32" s="2" t="inlineStr">
        <is>
          <t>No significant difference in full workflow completion (5.2% LLM vs 6.6% internet); modest intermediate benefits possible.</t>
        </is>
      </c>
      <c r="S32" s="2" t="inlineStr">
        <is>
          <t>Tests whether strong in-silico biology capability translates into novice real-world lab uplift.</t>
        </is>
      </c>
      <c r="T32" s="2" t="inlineStr">
        <is>
          <t>Direct manipulation of AI access and observed task performance.</t>
        </is>
      </c>
      <c r="U32" s="2" t="inlineStr">
        <is>
          <t>High for bounded novice-uplift construct</t>
        </is>
      </c>
      <c r="V32" s="2" t="inlineStr">
        <is>
          <t>Real physical lab and extended workflow; still simulated/benign and novice population.</t>
        </is>
      </c>
      <c r="W32" s="2" t="inlineStr">
        <is>
          <t>High for novice wet-lab assistance; moderate for malicious-use scenario</t>
        </is>
      </c>
      <c r="X32" s="2" t="inlineStr">
        <is>
          <t>Directly challenges inference from benchmark performance to physical uplift; future-model transfer unknown.</t>
        </is>
      </c>
      <c r="Y32" s="2" t="inlineStr">
        <is>
          <t>Moderate for current-model novice uplift; unknown longitudinally</t>
        </is>
      </c>
      <c r="Z32" s="2" t="inlineStr">
        <is>
          <t>AI-enabled biological misuse uplift</t>
        </is>
      </c>
      <c r="AA32" s="2" t="inlineStr">
        <is>
          <t>Directly measures one hypothesized capability pathway but not harmful intent/outcome.</t>
        </is>
      </c>
      <c r="AB32" s="2" t="inlineStr">
        <is>
          <t>Paper documents intervention, chat logs/searches, task milestones, and physical outcomes.</t>
        </is>
      </c>
      <c r="AC32" s="2" t="inlineStr">
        <is>
          <t>Very high</t>
        </is>
      </c>
      <c r="AD32" s="2" t="inlineStr">
        <is>
          <t>Adding physical execution reverses/attenuates conclusions suggested by high in-silico benchmark performance.</t>
        </is>
      </c>
      <c r="AE32" s="2" t="inlineStr">
        <is>
          <t>Low for trial endpoint; broader catastrophic-risk claims remain several steps downstream.</t>
        </is>
      </c>
      <c r="AF32" s="2" t="inlineStr">
        <is>
          <t>High benchmark capability -&gt; novice uplift hypothesis -&gt; physical RCT -&gt; no significant primary uplift -&gt; recalibrate security inference.</t>
        </is>
      </c>
      <c r="AG32" s="2" t="inlineStr">
        <is>
          <t>https://arxiv.org/abs/2602.16703</t>
        </is>
      </c>
      <c r="AH32" s="2" t="inlineStr">
        <is>
          <t>https://arxiv.org/pdf/2602.16703</t>
        </is>
      </c>
      <c r="AI32" s="2" t="inlineStr">
        <is>
          <t>URL captured</t>
        </is>
      </c>
      <c r="AJ32" s="2" t="inlineStr">
        <is>
          <t>Critical negative/nuanced result.</t>
        </is>
      </c>
    </row>
    <row r="33">
      <c r="A33" s="2" t="inlineStr">
        <is>
          <t>E32</t>
        </is>
      </c>
      <c r="B33" s="2" t="inlineStr">
        <is>
          <t>LLM Novice Uplift on Dual-Use, In Silico Biology Tasks</t>
        </is>
      </c>
      <c r="C33" s="2" t="n">
        <v>2026</v>
      </c>
      <c r="D33" s="2" t="inlineStr">
        <is>
          <t>Zhang et al. / Scale AI, SecureBio, Oxford, UC Berkeley</t>
        </is>
      </c>
      <c r="E33" s="2" t="inlineStr">
        <is>
          <t>Human biological uplift in digital tasks</t>
        </is>
      </c>
      <c r="F33" s="2" t="inlineStr">
        <is>
          <t>knowledge, planning, in-silico biosecurity tasks</t>
        </is>
      </c>
      <c r="G33" s="2" t="inlineStr">
        <is>
          <t>Effect of LLM access on novice performance on dual-use-relevant biology tasks</t>
        </is>
      </c>
      <c r="H33" s="2" t="inlineStr">
        <is>
          <t>Performance across eight short/long-form benchmarks with up to 13 hours interaction</t>
        </is>
      </c>
      <c r="I33" s="2" t="inlineStr">
        <is>
          <t>human+AI</t>
        </is>
      </c>
      <c r="J33" s="2" t="inlineStr">
        <is>
          <t>57 novices with frontier LLM access vs internet-only; multiple models/tasks</t>
        </is>
      </c>
      <c r="K33" s="2" t="inlineStr">
        <is>
          <t>Long-form digital tasks; frontier LLMs and internet</t>
        </is>
      </c>
      <c r="L33" s="2" t="inlineStr">
        <is>
          <t>Written/in-silico biological analyses and plans</t>
        </is>
      </c>
      <c r="M33" s="2" t="inlineStr">
        <is>
          <t>Accuracy/task scores; expert-baseline comparisons</t>
        </is>
      </c>
      <c r="N33" s="2" t="inlineStr">
        <is>
          <t>Internet-only novices; expert baselines on subset</t>
        </is>
      </c>
      <c r="O33" s="2" t="inlineStr">
        <is>
          <t>Human uplift study, in silico</t>
        </is>
      </c>
      <c r="P33" s="2" t="inlineStr">
        <is>
          <t>No</t>
        </is>
      </c>
      <c r="Q33" s="2" t="inlineStr">
        <is>
          <t>None</t>
        </is>
      </c>
      <c r="R33" s="2" t="inlineStr">
        <is>
          <t>LLM access increased novice accuracy ~4.16x; assisted novices exceeded expert baselines on 3/4 benchmarks; standalone LLMs often exceeded human+AI.</t>
        </is>
      </c>
      <c r="S33" s="2" t="inlineStr">
        <is>
          <t>Suggests substantial narrowing of expertise barriers on digital biological tasks.</t>
        </is>
      </c>
      <c r="T33" s="2" t="inlineStr">
        <is>
          <t>Direct randomized/mixed comparison of access conditions on benchmark tasks.</t>
        </is>
      </c>
      <c r="U33" s="2" t="inlineStr">
        <is>
          <t>High for digital-task uplift</t>
        </is>
      </c>
      <c r="V33" s="2" t="inlineStr">
        <is>
          <t>Longer interactions and heterogeneous tasks improve realism but no physical execution.</t>
        </is>
      </c>
      <c r="W33" s="2" t="inlineStr">
        <is>
          <t>Moderate</t>
        </is>
      </c>
      <c r="X33" s="2" t="inlineStr">
        <is>
          <t>No direct calibration to physical success; contrasts with wet-lab RCT findings.</t>
        </is>
      </c>
      <c r="Y33" s="2" t="inlineStr">
        <is>
          <t>Low/unknown for physical or harmful outcomes</t>
        </is>
      </c>
      <c r="Z33" s="2" t="inlineStr">
        <is>
          <t>Biological misuse uplift</t>
        </is>
      </c>
      <c r="AA33" s="2" t="inlineStr">
        <is>
          <t>Indirect: dual-use task performance but no physical harmful execution.</t>
        </is>
      </c>
      <c r="AB33" s="2" t="inlineStr">
        <is>
          <t>Study reports task design, models, control condition, and user interactions.</t>
        </is>
      </c>
      <c r="AC33" s="2" t="inlineStr">
        <is>
          <t>Very high</t>
        </is>
      </c>
      <c r="AD33" s="2" t="inlineStr">
        <is>
          <t>Human+AI interaction differs from standalone model, and physical-lab studies yield different effect sizes.</t>
        </is>
      </c>
      <c r="AE33" s="2" t="inlineStr">
        <is>
          <t>Moderate: strong digital uplift is directly shown; downstream real-world risk remains inferred.</t>
        </is>
      </c>
      <c r="AF33" s="2" t="inlineStr">
        <is>
          <t>Dual-use knowledge barrier -&gt; AI access -&gt; digital task uplift -&gt; inferred reduction in expertise barrier -&gt; possible misuse risk.</t>
        </is>
      </c>
      <c r="AG33" s="2" t="inlineStr">
        <is>
          <t>https://arxiv.org/abs/2602.23329</t>
        </is>
      </c>
      <c r="AH33" s="2" t="inlineStr">
        <is>
          <t>https://arxiv.org/pdf/2602.23329</t>
        </is>
      </c>
      <c r="AI33" s="2" t="inlineStr">
        <is>
          <t>URL captured</t>
        </is>
      </c>
      <c r="AJ33" s="2" t="inlineStr">
        <is>
          <t>Pairs naturally with E31.</t>
        </is>
      </c>
    </row>
    <row r="34">
      <c r="A34" s="2" t="inlineStr">
        <is>
          <t>E33</t>
        </is>
      </c>
      <c r="B34" s="2" t="inlineStr">
        <is>
          <t>LABBench2</t>
        </is>
      </c>
      <c r="C34" s="2" t="n">
        <v>2026</v>
      </c>
      <c r="D34" s="2" t="inlineStr">
        <is>
          <t>Laurent et al. / FutureHouse-Edison Scientific collaborators</t>
        </is>
      </c>
      <c r="E34" s="2" t="inlineStr">
        <is>
          <t>Biology research capability benchmark</t>
        </is>
      </c>
      <c r="F34" s="2" t="inlineStr">
        <is>
          <t>literature, databases, protocols, sequence reasoning, research tasks</t>
        </is>
      </c>
      <c r="G34" s="2" t="inlineStr">
        <is>
          <t>Ability to perform useful biology research tasks in more realistic contexts</t>
        </is>
      </c>
      <c r="H34" s="2" t="inlineStr">
        <is>
          <t>~1,900 tasks extending LAB-Bench with more realistic contexts</t>
        </is>
      </c>
      <c r="I34" s="2" t="inlineStr">
        <is>
          <t>model-only / agent-compatible</t>
        </is>
      </c>
      <c r="J34" s="2" t="inlineStr">
        <is>
          <t>Frontier models evaluated on task suite</t>
        </is>
      </c>
      <c r="K34" s="2" t="inlineStr">
        <is>
          <t>Biology research artifacts/questions</t>
        </is>
      </c>
      <c r="L34" s="2" t="inlineStr">
        <is>
          <t>Answers and task outputs</t>
        </is>
      </c>
      <c r="M34" s="2" t="inlineStr">
        <is>
          <t>Task accuracy/performance relative to LAB-Bench</t>
        </is>
      </c>
      <c r="N34" s="2" t="inlineStr">
        <is>
          <t>LAB-Bench predecessor and task ground truth</t>
        </is>
      </c>
      <c r="O34" s="2" t="inlineStr">
        <is>
          <t>Static/structured benchmark</t>
        </is>
      </c>
      <c r="P34" s="2" t="inlineStr">
        <is>
          <t>No</t>
        </is>
      </c>
      <c r="Q34" s="2" t="inlineStr">
        <is>
          <t>None</t>
        </is>
      </c>
      <c r="R34" s="2" t="inlineStr">
        <is>
          <t>LABBench2 is substantially harder: model-specific drops of ~26–46 percentage points across subtasks relative to LAB-Bench.</t>
        </is>
      </c>
      <c r="S34" s="2" t="inlineStr">
        <is>
          <t>Improved realism may better track meaningful scientific work than saturated predecessor tasks.</t>
        </is>
      </c>
      <c r="T34" s="2" t="inlineStr">
        <is>
          <t>Tasks explicitly redesigned toward real-world capability; still benchmark-bound.</t>
        </is>
      </c>
      <c r="U34" s="2" t="inlineStr">
        <is>
          <t>Moderate-high</t>
        </is>
      </c>
      <c r="V34" s="2" t="inlineStr">
        <is>
          <t>More realistic contexts, but no deployment/wet-lab execution.</t>
        </is>
      </c>
      <c r="W34" s="2" t="inlineStr">
        <is>
          <t>Moderate</t>
        </is>
      </c>
      <c r="X34" s="2" t="inlineStr">
        <is>
          <t>No direct downstream outcome validation yet.</t>
        </is>
      </c>
      <c r="Y34" s="2" t="inlineStr">
        <is>
          <t>Unknown</t>
        </is>
      </c>
      <c r="Z34" s="2" t="inlineStr">
        <is>
          <t>Scientific capability relevant to AI-bio risk</t>
        </is>
      </c>
      <c r="AA34" s="2" t="inlineStr">
        <is>
          <t>Indirect.</t>
        </is>
      </c>
      <c r="AB34" s="2" t="inlineStr">
        <is>
          <t>Dataset and harness public.</t>
        </is>
      </c>
      <c r="AC34" s="2" t="inlineStr">
        <is>
          <t>High</t>
        </is>
      </c>
      <c r="AD34" s="2" t="inlineStr">
        <is>
          <t>Difficulty shifts when task context expands; workflow/tool use not fully captured.</t>
        </is>
      </c>
      <c r="AE34" s="2" t="inlineStr">
        <is>
          <t>Moderate</t>
        </is>
      </c>
      <c r="AF34" s="2" t="inlineStr">
        <is>
          <t>Benchmark saturation -&gt; more realistic tasks -&gt; lower measured performance -&gt; revised estimate of scientific capability.</t>
        </is>
      </c>
      <c r="AG34" s="2" t="inlineStr">
        <is>
          <t>https://arxiv.org/abs/2604.09554</t>
        </is>
      </c>
      <c r="AH34" s="2" t="inlineStr">
        <is>
          <t>https://arxiv.org/pdf/2604.09554</t>
        </is>
      </c>
      <c r="AI34" s="2" t="inlineStr">
        <is>
          <t>URL captured</t>
        </is>
      </c>
      <c r="AJ34" s="2" t="inlineStr">
        <is>
          <t>Direct example of benchmark redesign changing capability estimate.</t>
        </is>
      </c>
    </row>
    <row r="35">
      <c r="A35" s="2" t="inlineStr">
        <is>
          <t>E34</t>
        </is>
      </c>
      <c r="B35" s="2" t="inlineStr">
        <is>
          <t>BioSecBench-Refusal</t>
        </is>
      </c>
      <c r="C35" s="2" t="n">
        <v>2026</v>
      </c>
      <c r="D35" s="2" t="inlineStr">
        <is>
          <t>Wintermute et al. / LatchBio and collaborators</t>
        </is>
      </c>
      <c r="E35" s="2" t="inlineStr">
        <is>
          <t>Calibrated refusal / safe usefulness</t>
        </is>
      </c>
      <c r="F35" s="2" t="inlineStr">
        <is>
          <t>agentic life-science tasks</t>
        </is>
      </c>
      <c r="G35" s="2" t="inlineStr">
        <is>
          <t>Ability to refuse concealed hazardous tasks while completing legitimate research</t>
        </is>
      </c>
      <c r="H35" s="2" t="inlineStr">
        <is>
          <t>61 routine + 46 red-team tasks across 16 model-harness configurations</t>
        </is>
      </c>
      <c r="I35" s="2" t="inlineStr">
        <is>
          <t>agent+harness</t>
        </is>
      </c>
      <c r="J35" s="2" t="inlineStr">
        <is>
          <t>Models/harnesses with provider filters and reasoning stages</t>
        </is>
      </c>
      <c r="K35" s="2" t="inlineStr">
        <is>
          <t>Routine and hazard-concealing biology tasks</t>
        </is>
      </c>
      <c r="L35" s="2" t="inlineStr">
        <is>
          <t>Refusal or task execution</t>
        </is>
      </c>
      <c r="M35" s="2" t="inlineStr">
        <is>
          <t>Routine refusal and red-team refusal rates</t>
        </is>
      </c>
      <c r="N35" s="2" t="inlineStr">
        <is>
          <t>Paired expert-curated routine/red-team labels</t>
        </is>
      </c>
      <c r="O35" s="2" t="inlineStr">
        <is>
          <t>Agent safeguard benchmark</t>
        </is>
      </c>
      <c r="P35" s="2" t="inlineStr">
        <is>
          <t>No</t>
        </is>
      </c>
      <c r="Q35" s="2" t="inlineStr">
        <is>
          <t>None</t>
        </is>
      </c>
      <c r="R35" s="2" t="inlineStr">
        <is>
          <t>Many configurations refused routine tasks as often or more often than concealed hazards; provider filters often dominated; reasoning could improve threat recognition.</t>
        </is>
      </c>
      <c r="S35" s="2" t="inlineStr">
        <is>
          <t>Simple refusal rate is a poor proxy for calibrated biological safety.</t>
        </is>
      </c>
      <c r="T35" s="2" t="inlineStr">
        <is>
          <t>Paired routine/hazard design directly tests discrimination rather than raw refusal.</t>
        </is>
      </c>
      <c r="U35" s="2" t="inlineStr">
        <is>
          <t>High for calibrated-refusal construct</t>
        </is>
      </c>
      <c r="V35" s="2" t="inlineStr">
        <is>
          <t>Agentic task framing; still in silico.</t>
        </is>
      </c>
      <c r="W35" s="2" t="inlineStr">
        <is>
          <t>Moderate-high</t>
        </is>
      </c>
      <c r="X35" s="2" t="inlineStr">
        <is>
          <t>No physical misuse outcome calibration.</t>
        </is>
      </c>
      <c r="Y35" s="2" t="inlineStr">
        <is>
          <t>Unknown</t>
        </is>
      </c>
      <c r="Z35" s="2" t="inlineStr">
        <is>
          <t>Model/agent biosecurity safeguards</t>
        </is>
      </c>
      <c r="AA35" s="2" t="inlineStr">
        <is>
          <t>Direct to safeguard behavior, indirect to real harm reduction.</t>
        </is>
      </c>
      <c r="AB35" s="2" t="inlineStr">
        <is>
          <t>Open benchmark and multiple harness configurations.</t>
        </is>
      </c>
      <c r="AC35" s="2" t="inlineStr">
        <is>
          <t>Very high</t>
        </is>
      </c>
      <c r="AD35" s="2" t="inlineStr">
        <is>
          <t>Behavior changes substantially with harness/provider filters and reasoning opportunity.</t>
        </is>
      </c>
      <c r="AE35" s="2" t="inlineStr">
        <is>
          <t>Low for proxy-decoupling claim; higher for downstream security effect.</t>
        </is>
      </c>
      <c r="AF35" s="2" t="inlineStr">
        <is>
          <t>Bio hazard request -&gt; refusal metric -&gt; paired benchmark reveals miscalibration -&gt; redesign safeguard/evaluation.</t>
        </is>
      </c>
      <c r="AG35" s="2" t="inlineStr">
        <is>
          <t>https://arxiv.org/abs/2607.05462</t>
        </is>
      </c>
      <c r="AH35" s="2" t="inlineStr">
        <is>
          <t>https://arxiv.org/pdf/2607.05462</t>
        </is>
      </c>
      <c r="AI35" s="2" t="inlineStr">
        <is>
          <t>URL captured</t>
        </is>
      </c>
      <c r="AJ35" s="2" t="inlineStr">
        <is>
          <t>Strong evidence that raw refusal is not the target construct.</t>
        </is>
      </c>
    </row>
    <row r="36">
      <c r="A36" s="2" t="inlineStr">
        <is>
          <t>E35</t>
        </is>
      </c>
      <c r="B36" s="2" t="inlineStr">
        <is>
          <t>RepliBench</t>
        </is>
      </c>
      <c r="C36" s="2" t="n">
        <v>2025</v>
      </c>
      <c r="D36" s="2" t="inlineStr">
        <is>
          <t>Black et al. / UK AI Security Institute and collaborators</t>
        </is>
      </c>
      <c r="E36" s="2" t="inlineStr">
        <is>
          <t>Autonomous replication capability</t>
        </is>
      </c>
      <c r="F36" s="2" t="inlineStr">
        <is>
          <t>resource acquisition, weight exfiltration, compute replication, persistence</t>
        </is>
      </c>
      <c r="G36" s="2" t="inlineStr">
        <is>
          <t>Ability of AI agents to autonomously replicate/persist</t>
        </is>
      </c>
      <c r="H36" s="2" t="inlineStr">
        <is>
          <t>20 task families / 86 tasks covering decomposed replication prerequisites</t>
        </is>
      </c>
      <c r="I36" s="2" t="inlineStr">
        <is>
          <t>agent+tools+infrastructure</t>
        </is>
      </c>
      <c r="J36" s="2" t="inlineStr">
        <is>
          <t>Frontier agents interacting with cloud/KYC/security environments</t>
        </is>
      </c>
      <c r="K36" s="2" t="inlineStr">
        <is>
          <t>Digital infrastructure tasks</t>
        </is>
      </c>
      <c r="L36" s="2" t="inlineStr">
        <is>
          <t>Cloud setup, programs, exfiltration, persistence attempts</t>
        </is>
      </c>
      <c r="M36" s="2" t="inlineStr">
        <is>
          <t>Task-family pass rates</t>
        </is>
      </c>
      <c r="N36" s="2" t="inlineStr">
        <is>
          <t>Task completion criteria</t>
        </is>
      </c>
      <c r="O36" s="2" t="inlineStr">
        <is>
          <t>Agent capability benchmark</t>
        </is>
      </c>
      <c r="P36" s="2" t="inlineStr">
        <is>
          <t>No</t>
        </is>
      </c>
      <c r="Q36" s="2" t="inlineStr">
        <is>
          <t>None</t>
        </is>
      </c>
      <c r="R36" s="2" t="inlineStr">
        <is>
          <t>Models succeed on many components but do not currently pose a credible end-to-end self-replication threat; KYC and robust persistence remain bottlenecks.</t>
        </is>
      </c>
      <c r="S36" s="2" t="inlineStr">
        <is>
          <t>Not bio-specific; useful comparator for component-to-end-to-end capability inference.</t>
        </is>
      </c>
      <c r="T36" s="2" t="inlineStr">
        <is>
          <t>Threat capability decomposed into operational tasks.</t>
        </is>
      </c>
      <c r="U36" s="2" t="inlineStr">
        <is>
          <t>Moderate-high</t>
        </is>
      </c>
      <c r="V36" s="2" t="inlineStr">
        <is>
          <t>Realistic cloud/security affordances but bounded benchmark conditions.</t>
        </is>
      </c>
      <c r="W36" s="2" t="inlineStr">
        <is>
          <t>Moderate-high</t>
        </is>
      </c>
      <c r="X36" s="2" t="inlineStr">
        <is>
          <t>No field validation of self-replication incidents.</t>
        </is>
      </c>
      <c r="Y36" s="2" t="inlineStr">
        <is>
          <t>Unknown</t>
        </is>
      </c>
      <c r="Z36" s="2" t="inlineStr">
        <is>
          <t>Loss-of-control / autonomous replication</t>
        </is>
      </c>
      <c r="AA36" s="2" t="inlineStr">
        <is>
          <t>Direct capability precursor, not actual harm.</t>
        </is>
      </c>
      <c r="AB36" s="2" t="inlineStr">
        <is>
          <t>AISI paper and task suite.</t>
        </is>
      </c>
      <c r="AC36" s="2" t="inlineStr">
        <is>
          <t>Very high</t>
        </is>
      </c>
      <c r="AD36" s="2" t="inlineStr">
        <is>
          <t>End-to-end conclusion differs from success on individual components because external controls remain binding.</t>
        </is>
      </c>
      <c r="AE36" s="2" t="inlineStr">
        <is>
          <t>Low for current bounded conclusion; future emergence prediction is speculative.</t>
        </is>
      </c>
      <c r="AF36" s="2" t="inlineStr">
        <is>
          <t>Replication threat -&gt; prerequisite task decomposition -&gt; component success + bottlenecks -&gt; no current end-to-end threat -&gt; monitor remaining barriers.</t>
        </is>
      </c>
      <c r="AG36" s="2" t="inlineStr">
        <is>
          <t>https://arxiv.org/abs/2504.18565</t>
        </is>
      </c>
      <c r="AH36" s="2" t="inlineStr">
        <is>
          <t>https://arxiv.org/pdf/2504.18565</t>
        </is>
      </c>
      <c r="AI36" s="2" t="inlineStr">
        <is>
          <t>URL captured</t>
        </is>
      </c>
      <c r="AJ36" s="2" t="inlineStr">
        <is>
          <t>Excellent comparator for relational bottlenecks.</t>
        </is>
      </c>
    </row>
    <row r="37">
      <c r="A37" s="2" t="inlineStr">
        <is>
          <t>E36</t>
        </is>
      </c>
      <c r="B37" s="2" t="inlineStr">
        <is>
          <t>PaperBench</t>
        </is>
      </c>
      <c r="C37" s="2" t="n">
        <v>2025</v>
      </c>
      <c r="D37" s="2" t="inlineStr">
        <is>
          <t>Starace et al. / OpenAI</t>
        </is>
      </c>
      <c r="E37" s="2" t="inlineStr">
        <is>
          <t>AI research replication capability</t>
        </is>
      </c>
      <c r="F37" s="2" t="inlineStr">
        <is>
          <t>understand paper -&gt; implement code -&gt; execute experiments -&gt; reproduce results</t>
        </is>
      </c>
      <c r="G37" s="2" t="inlineStr">
        <is>
          <t>Ability of AI agents to replicate state-of-the-art ML research</t>
        </is>
      </c>
      <c r="H37" s="2" t="inlineStr">
        <is>
          <t>20 ICML papers decomposed into 8,316 graded subtasks</t>
        </is>
      </c>
      <c r="I37" s="2" t="inlineStr">
        <is>
          <t>agent+compute+research-artifacts</t>
        </is>
      </c>
      <c r="J37" s="2" t="inlineStr">
        <is>
          <t>AI agents given paper and computing environment; judged by rubrics/LLM judge</t>
        </is>
      </c>
      <c r="K37" s="2" t="inlineStr">
        <is>
          <t>Published research papers and task environment</t>
        </is>
      </c>
      <c r="L37" s="2" t="inlineStr">
        <is>
          <t>Code, experiments, replication artifacts</t>
        </is>
      </c>
      <c r="M37" s="2" t="inlineStr">
        <is>
          <t>Hierarchical replication score</t>
        </is>
      </c>
      <c r="N37" s="2" t="inlineStr">
        <is>
          <t>Author-developed rubrics; top ML PhD human baseline on subset</t>
        </is>
      </c>
      <c r="O37" s="2" t="inlineStr">
        <is>
          <t>Research-replication benchmark + human baseline</t>
        </is>
      </c>
      <c r="P37" s="2" t="inlineStr">
        <is>
          <t>No</t>
        </is>
      </c>
      <c r="Q37" s="2" t="inlineStr">
        <is>
          <t>None</t>
        </is>
      </c>
      <c r="R37" s="2" t="inlineStr">
        <is>
          <t>Best tested agent scored ~21%; models did not outperform human baseline.</t>
        </is>
      </c>
      <c r="S37" s="2" t="inlineStr">
        <is>
          <t>Not bio-specific; measures a key precursor to autonomous AI R&amp;D.</t>
        </is>
      </c>
      <c r="T37" s="2" t="inlineStr">
        <is>
          <t>Real papers, author-informed rubrics, execution required.</t>
        </is>
      </c>
      <c r="U37" s="2" t="inlineStr">
        <is>
          <t>High for bounded replication construct</t>
        </is>
      </c>
      <c r="V37" s="2" t="inlineStr">
        <is>
          <t>Real research tasks but artificial evaluation/time/tool constraints.</t>
        </is>
      </c>
      <c r="W37" s="2" t="inlineStr">
        <is>
          <t>Moderate-high</t>
        </is>
      </c>
      <c r="X37" s="2" t="inlineStr">
        <is>
          <t>No direct prediction of autonomous research productivity in deployment.</t>
        </is>
      </c>
      <c r="Y37" s="2" t="inlineStr">
        <is>
          <t>Unknown</t>
        </is>
      </c>
      <c r="Z37" s="2" t="inlineStr">
        <is>
          <t>Autonomous AI R&amp;D</t>
        </is>
      </c>
      <c r="AA37" s="2" t="inlineStr">
        <is>
          <t>Indirect precursor.</t>
        </is>
      </c>
      <c r="AB37" s="2" t="inlineStr">
        <is>
          <t>Paper, code, judge benchmark.</t>
        </is>
      </c>
      <c r="AC37" s="2" t="inlineStr">
        <is>
          <t>High</t>
        </is>
      </c>
      <c r="AD37" s="2" t="inlineStr">
        <is>
          <t>Performance depends on scaffolding, compute, judge, and artifacts.</t>
        </is>
      </c>
      <c r="AE37" s="2" t="inlineStr">
        <is>
          <t>Moderate</t>
        </is>
      </c>
      <c r="AF37" s="2" t="inlineStr">
        <is>
          <t>Autonomous R&amp;D concern -&gt; real paper replication -&gt; low partial scores vs humans -&gt; limited current autonomy.</t>
        </is>
      </c>
      <c r="AG37" s="2" t="inlineStr">
        <is>
          <t>https://openai.com/index/paperbench/</t>
        </is>
      </c>
      <c r="AH37" s="2" t="inlineStr">
        <is>
          <t>https://arxiv.org/pdf/2504.01848</t>
        </is>
      </c>
      <c r="AI37" s="2" t="inlineStr">
        <is>
          <t>URL captured</t>
        </is>
      </c>
      <c r="AJ37" s="2" t="inlineStr">
        <is>
          <t>Negative/limiting result with strong task realism.</t>
        </is>
      </c>
    </row>
    <row r="38">
      <c r="A38" s="2" t="inlineStr">
        <is>
          <t>E37</t>
        </is>
      </c>
      <c r="B38" s="2" t="inlineStr">
        <is>
          <t>Persuasion Undermining Control (PUC) preliminary evaluation</t>
        </is>
      </c>
      <c r="C38" s="2" t="n">
        <v>2026</v>
      </c>
      <c r="D38" s="2" t="inlineStr">
        <is>
          <t>Levy, Yang, Pelrine / FAR.AI</t>
        </is>
      </c>
      <c r="E38" s="2" t="inlineStr">
        <is>
          <t>Detection of AI manipulative persuasion in control-relevant decisions</t>
        </is>
      </c>
      <c r="F38" s="2" t="inlineStr">
        <is>
          <t>AI communication -&gt; human/monitor interpretation -&gt; control decision</t>
        </is>
      </c>
      <c r="G38" s="2" t="inlineStr">
        <is>
          <t>AI propensity/effectiveness in persuasion that undermines control</t>
        </is>
      </c>
      <c r="H38" s="2" t="inlineStr">
        <is>
          <t>Synthetic objective/attitudinal tasks with aligned/misaligned actors and LLM judge</t>
        </is>
      </c>
      <c r="I38" s="2" t="inlineStr">
        <is>
          <t>AI actor + monitor</t>
        </is>
      </c>
      <c r="J38" s="2" t="inlineStr">
        <is>
          <t>LLM actors advocate correct/incorrect stances; judge varies access to answers/source material</t>
        </is>
      </c>
      <c r="K38" s="2" t="inlineStr">
        <is>
          <t>Synthetic source material or attitudinal questions</t>
        </is>
      </c>
      <c r="L38" s="2" t="inlineStr">
        <is>
          <t>Persuasive messages and judge manipulation scores</t>
        </is>
      </c>
      <c r="M38" s="2" t="inlineStr">
        <is>
          <t>Persuasion/manipulation ratings</t>
        </is>
      </c>
      <c r="N38" s="2" t="inlineStr">
        <is>
          <t>Known correct answer for objective tasks; actor assignment for attitudinal tasks</t>
        </is>
      </c>
      <c r="O38" s="2" t="inlineStr">
        <is>
          <t>Preliminary LLM-only evaluation</t>
        </is>
      </c>
      <c r="P38" s="2" t="inlineStr">
        <is>
          <t>No</t>
        </is>
      </c>
      <c r="Q38" s="2" t="inlineStr">
        <is>
          <t>None</t>
        </is>
      </c>
      <c r="R38" s="2" t="inlineStr">
        <is>
          <t>Source-aware judges better distinguish manipulative actors; fully blind judge struggles and can mis-rank aligned actor.</t>
        </is>
      </c>
      <c r="S38" s="2" t="inlineStr">
        <is>
          <t>Not bio-specific; shows monitoring effectiveness depends on contextual evidence.</t>
        </is>
      </c>
      <c r="T38" s="2" t="inlineStr">
        <is>
          <t>Ground truth known in objective setup; human persuadability not tested.</t>
        </is>
      </c>
      <c r="U38" s="2" t="inlineStr">
        <is>
          <t>Moderate for manipulation-detection setup; low for actual human persuasion risk</t>
        </is>
      </c>
      <c r="V38" s="2" t="inlineStr">
        <is>
          <t>Synthetic scenarios and LLM judge, not real organizational decisions.</t>
        </is>
      </c>
      <c r="W38" s="2" t="inlineStr">
        <is>
          <t>Low-moderate</t>
        </is>
      </c>
      <c r="X38" s="2" t="inlineStr">
        <is>
          <t>No human outcome study yet.</t>
        </is>
      </c>
      <c r="Y38" s="2" t="inlineStr">
        <is>
          <t>Unknown</t>
        </is>
      </c>
      <c r="Z38" s="2" t="inlineStr">
        <is>
          <t>Human-control failure</t>
        </is>
      </c>
      <c r="AA38" s="2" t="inlineStr">
        <is>
          <t>Hypothesized chain; preliminary evaluation covers only some links.</t>
        </is>
      </c>
      <c r="AB38" s="2" t="inlineStr">
        <is>
          <t>Full paper available.</t>
        </is>
      </c>
      <c r="AC38" s="2" t="inlineStr">
        <is>
          <t>Very high</t>
        </is>
      </c>
      <c r="AD38" s="2" t="inlineStr">
        <is>
          <t>Monitor performance changes when source context is removed.</t>
        </is>
      </c>
      <c r="AE38" s="2" t="inlineStr">
        <is>
          <t>Moderate-high between threat framing and preliminary empirical result.</t>
        </is>
      </c>
      <c r="AF38" s="2" t="inlineStr">
        <is>
          <t>Control-undermining threat -&gt; persuasion scenario -&gt; synthetic eval -&gt; context-dependent monitoring -&gt; future human study needed.</t>
        </is>
      </c>
      <c r="AG38" s="2" t="inlineStr">
        <is>
          <t>https://arxiv.org/abs/2609.14796</t>
        </is>
      </c>
      <c r="AH38" s="2" t="inlineStr">
        <is>
          <t>https://arxiv.org/pdf/2609.14796</t>
        </is>
      </c>
      <c r="AI38" s="2" t="inlineStr">
        <is>
          <t>Locally archived in prior corpus</t>
        </is>
      </c>
      <c r="AJ38" s="2" t="inlineStr">
        <is>
          <t>Useful case for claim vs demonstration separation.</t>
        </is>
      </c>
    </row>
    <row r="39">
      <c r="A39" s="2" t="inlineStr">
        <is>
          <t>E38</t>
        </is>
      </c>
      <c r="B39" s="2" t="inlineStr">
        <is>
          <t>Anthropic 2024 preliminary wet-lab uplift pilot</t>
        </is>
      </c>
      <c r="C39" s="2" t="n">
        <v>2024</v>
      </c>
      <c r="D39" s="2" t="inlineStr">
        <is>
          <t>Anthropic Frontier Red Team / external participants</t>
        </is>
      </c>
      <c r="E39" s="2" t="inlineStr">
        <is>
          <t>Novice wet-lab uplift</t>
        </is>
      </c>
      <c r="F39" s="2" t="inlineStr">
        <is>
          <t>basic laboratory protocols</t>
        </is>
      </c>
      <c r="G39" s="2" t="inlineStr">
        <is>
          <t>Whether LLM access reduces tacit-skill barriers in physical biology</t>
        </is>
      </c>
      <c r="H39" s="2" t="inlineStr">
        <is>
          <t>Small wet-lab comparison, n=8, LLM vs internet-only</t>
        </is>
      </c>
      <c r="I39" s="2" t="inlineStr">
        <is>
          <t>human+AI+physical</t>
        </is>
      </c>
      <c r="J39" s="2" t="inlineStr">
        <is>
          <t>Novices execute basic biology protocols with/without Claude access</t>
        </is>
      </c>
      <c r="K39" s="2" t="inlineStr">
        <is>
          <t>Internet or AI assistance plus lab materials</t>
        </is>
      </c>
      <c r="L39" s="2" t="inlineStr">
        <is>
          <t>Basic wet-lab task execution</t>
        </is>
      </c>
      <c r="M39" s="2" t="inlineStr">
        <is>
          <t>Task success</t>
        </is>
      </c>
      <c r="N39" s="2" t="inlineStr">
        <is>
          <t>Internet-only participants</t>
        </is>
      </c>
      <c r="O39" s="2" t="inlineStr">
        <is>
          <t>Small exploratory wet-lab human study</t>
        </is>
      </c>
      <c r="P39" s="2" t="inlineStr">
        <is>
          <t>Yes</t>
        </is>
      </c>
      <c r="Q39" s="2" t="inlineStr">
        <is>
          <t>Core endpoint</t>
        </is>
      </c>
      <c r="R39" s="2" t="inlineStr">
        <is>
          <t>No evidence of AI uplift; both groups performed surprisingly well, limiting inference.</t>
        </is>
      </c>
      <c r="S39" s="2" t="inlineStr">
        <is>
          <t>Tacit knowledge may not be as strong a bottleneck as assumed; larger study needed.</t>
        </is>
      </c>
      <c r="T39" s="2" t="inlineStr">
        <is>
          <t>Direct physical comparison but very small sample/basic tasks.</t>
        </is>
      </c>
      <c r="U39" s="2" t="inlineStr">
        <is>
          <t>Moderate</t>
        </is>
      </c>
      <c r="V39" s="2" t="inlineStr">
        <is>
          <t>Real lab, simple tasks, very small n.</t>
        </is>
      </c>
      <c r="W39" s="2" t="inlineStr">
        <is>
          <t>Moderate</t>
        </is>
      </c>
      <c r="X39" s="2" t="inlineStr">
        <is>
          <t>Insufficient power; motivated larger study.</t>
        </is>
      </c>
      <c r="Y39" s="2" t="inlineStr">
        <is>
          <t>Low/unknown</t>
        </is>
      </c>
      <c r="Z39" s="2" t="inlineStr">
        <is>
          <t>AI-enabled wet-lab uplift</t>
        </is>
      </c>
      <c r="AA39" s="2" t="inlineStr">
        <is>
          <t>Direct to bounded uplift, not harmful outcome.</t>
        </is>
      </c>
      <c r="AB39" s="2" t="inlineStr">
        <is>
          <t>Anthropic retrospective description.</t>
        </is>
      </c>
      <c r="AC39" s="2" t="inlineStr">
        <is>
          <t>High</t>
        </is>
      </c>
      <c r="AD39" s="2" t="inlineStr">
        <is>
          <t>Physical baseline performance changed assumptions about tacit-knowledge bottleneck.</t>
        </is>
      </c>
      <c r="AE39" s="2" t="inlineStr">
        <is>
          <t>Authors are appropriately cautious; direct result is null/uncertain.</t>
        </is>
      </c>
      <c r="AF39" s="2" t="inlineStr">
        <is>
          <t>Tacit knowledge bottleneck hypothesis -&gt; small wet-lab pilot -&gt; no uplift + high baseline -&gt; larger RCT warranted.</t>
        </is>
      </c>
      <c r="AG39" s="2" t="inlineStr">
        <is>
          <t>https://www.anthropic.com/research/biorisk</t>
        </is>
      </c>
      <c r="AH39" s="2" t="inlineStr">
        <is>
          <t>https://www.anthropic.com/research/biorisk</t>
        </is>
      </c>
      <c r="AI39" s="2" t="inlineStr">
        <is>
          <t>Web full text</t>
        </is>
      </c>
      <c r="AJ39" s="2" t="inlineStr">
        <is>
          <t>Important negative precursor study.</t>
        </is>
      </c>
    </row>
    <row r="40">
      <c r="A40" s="2" t="inlineStr">
        <is>
          <t>E39</t>
        </is>
      </c>
      <c r="B40" s="2" t="inlineStr">
        <is>
          <t>Anthropic Claude Opus 4 bioweapons-acquisition uplift trial</t>
        </is>
      </c>
      <c r="C40" s="2" t="n">
        <v>2025</v>
      </c>
      <c r="D40" s="2" t="inlineStr">
        <is>
          <t>Anthropic Frontier Red Team + external participants</t>
        </is>
      </c>
      <c r="E40" s="2" t="inlineStr">
        <is>
          <t>Text-based bioweapon planning uplift</t>
        </is>
      </c>
      <c r="F40" s="2" t="inlineStr">
        <is>
          <t>acquisition planning</t>
        </is>
      </c>
      <c r="G40" s="2" t="inlineStr">
        <is>
          <t>Effect of frontier-model access on plan quality for malicious biological acquisition</t>
        </is>
      </c>
      <c r="H40" s="2" t="inlineStr">
        <is>
          <t>Human participants draft plans with Claude vs internet; biodefense experts grade rubric and critical failures</t>
        </is>
      </c>
      <c r="I40" s="2" t="inlineStr">
        <is>
          <t>human+AI</t>
        </is>
      </c>
      <c r="J40" s="2" t="inlineStr">
        <is>
          <t>~18 participants across LLM and internet conditions</t>
        </is>
      </c>
      <c r="K40" s="2" t="inlineStr">
        <is>
          <t>Text-based planning resources</t>
        </is>
      </c>
      <c r="L40" s="2" t="inlineStr">
        <is>
          <t>Written acquisition plans</t>
        </is>
      </c>
      <c r="M40" s="2" t="inlineStr">
        <is>
          <t>Plan quality and critical failures</t>
        </is>
      </c>
      <c r="N40" s="2" t="inlineStr">
        <is>
          <t>Internet-only control</t>
        </is>
      </c>
      <c r="O40" s="2" t="inlineStr">
        <is>
          <t>Human uplift study, text-only</t>
        </is>
      </c>
      <c r="P40" s="2" t="inlineStr">
        <is>
          <t>No</t>
        </is>
      </c>
      <c r="Q40" s="2" t="inlineStr">
        <is>
          <t>None</t>
        </is>
      </c>
      <c r="R40" s="2" t="inlineStr">
        <is>
          <t>Anthropic reports ~2.53x uplift in plan quality and fewer critical failures, while remaining below its internal 5x threshold and without physical execution.</t>
        </is>
      </c>
      <c r="S40" s="2" t="inlineStr">
        <is>
          <t>Evidence that text assistance can improve dangerous planning, motivating precautionary safeguards.</t>
        </is>
      </c>
      <c r="T40" s="2" t="inlineStr">
        <is>
          <t>Direct human comparison on threat-relevant planning task.</t>
        </is>
      </c>
      <c r="U40" s="2" t="inlineStr">
        <is>
          <t>Moderate-high for text-planning uplift</t>
        </is>
      </c>
      <c r="V40" s="2" t="inlineStr">
        <is>
          <t>No materials/tacit knowledge/physical execution.</t>
        </is>
      </c>
      <c r="W40" s="2" t="inlineStr">
        <is>
          <t>Low-moderate</t>
        </is>
      </c>
      <c r="X40" s="2" t="inlineStr">
        <is>
          <t>Not calibrated to successful real-world acquisition.</t>
        </is>
      </c>
      <c r="Y40" s="2" t="inlineStr">
        <is>
          <t>Unknown</t>
        </is>
      </c>
      <c r="Z40" s="2" t="inlineStr">
        <is>
          <t>Bioweapon acquisition risk</t>
        </is>
      </c>
      <c r="AA40" s="2" t="inlineStr">
        <is>
          <t>One upstream planning link directly measured; downstream chain inferred.</t>
        </is>
      </c>
      <c r="AB40" s="2" t="inlineStr">
        <is>
          <t>Anthropic public biorisk write-up/system-card summaries.</t>
        </is>
      </c>
      <c r="AC40" s="2" t="inlineStr">
        <is>
          <t>Very high</t>
        </is>
      </c>
      <c r="AD40" s="2" t="inlineStr">
        <is>
          <t>Physical-world barriers absent; comparison with wet-lab RCT is essential.</t>
        </is>
      </c>
      <c r="AE40" s="2" t="inlineStr">
        <is>
          <t>Moderate: text uplift shown, real-world risk increase not directly demonstrated.</t>
        </is>
      </c>
      <c r="AF40" s="2" t="inlineStr">
        <is>
          <t>Planning assistance -&gt; improved text plan -&gt; fewer errors -&gt; inferred higher attack feasibility -&gt; safeguards.</t>
        </is>
      </c>
      <c r="AG40" s="2" t="inlineStr">
        <is>
          <t>https://www.anthropic.com/research/biorisk</t>
        </is>
      </c>
      <c r="AH40" s="2" t="inlineStr">
        <is>
          <t>https://www.anthropic.com/research/biorisk</t>
        </is>
      </c>
      <c r="AI40" s="2" t="inlineStr">
        <is>
          <t>Web full text</t>
        </is>
      </c>
      <c r="AJ40" s="2" t="inlineStr">
        <is>
          <t>Contrasts sharply with physical-uplift studies.</t>
        </is>
      </c>
    </row>
    <row r="41">
      <c r="A41" s="2" t="inlineStr">
        <is>
          <t>E40</t>
        </is>
      </c>
      <c r="B41" s="2" t="inlineStr">
        <is>
          <t>Agentic AI for Reproducible Human-in-the-Loop Environmental Health Research</t>
        </is>
      </c>
      <c r="C41" s="2" t="n">
        <v>2026</v>
      </c>
      <c r="D41" s="2" t="inlineStr">
        <is>
          <t>Edmund Seto</t>
        </is>
      </c>
      <c r="E41" s="2" t="inlineStr">
        <is>
          <t>Human-in-loop scientific analysis reliability</t>
        </is>
      </c>
      <c r="F41" s="2" t="inlineStr">
        <is>
          <t>data filtering, spatial mapping, cluster analysis</t>
        </is>
      </c>
      <c r="G41" s="2" t="inlineStr">
        <is>
          <t>Whether human review/correction improves agentic analytical rigor and reproducibility</t>
        </is>
      </c>
      <c r="H41" s="2" t="inlineStr">
        <is>
          <t>Case study with iterative expert verification/correction of AI-generated R code/results</t>
        </is>
      </c>
      <c r="I41" s="2" t="inlineStr">
        <is>
          <t>human+AI+tools</t>
        </is>
      </c>
      <c r="J41" s="2" t="inlineStr">
        <is>
          <t>Agent generates code/results; human reviews each step</t>
        </is>
      </c>
      <c r="K41" s="2" t="inlineStr">
        <is>
          <t>Environmental health datasets and analysis objectives</t>
        </is>
      </c>
      <c r="L41" s="2" t="inlineStr">
        <is>
          <t>R code, maps, analyses, corrected results</t>
        </is>
      </c>
      <c r="M41" s="2" t="inlineStr">
        <is>
          <t>Reproducible/rigorous analysis after review</t>
        </is>
      </c>
      <c r="N41" s="2" t="inlineStr">
        <is>
          <t>Human expert review and correction</t>
        </is>
      </c>
      <c r="O41" s="2" t="inlineStr">
        <is>
          <t>Human-in-loop case study</t>
        </is>
      </c>
      <c r="P41" s="2" t="inlineStr">
        <is>
          <t>No</t>
        </is>
      </c>
      <c r="Q41" s="2" t="inlineStr">
        <is>
          <t>None</t>
        </is>
      </c>
      <c r="R41" s="2" t="inlineStr">
        <is>
          <t>Initial agentic outputs benefited from human verification and correction; domain expertise/coding literacy remained necessary.</t>
        </is>
      </c>
      <c r="S41" s="2" t="inlineStr">
        <is>
          <t>Adjacent scientific-workflow evidence for buffering and correction, not biosecurity-specific.</t>
        </is>
      </c>
      <c r="T41" s="2" t="inlineStr">
        <is>
          <t>Real scientific analysis workflow with explicit intervention points.</t>
        </is>
      </c>
      <c r="U41" s="2" t="inlineStr">
        <is>
          <t>Moderate-high</t>
        </is>
      </c>
      <c r="V41" s="2" t="inlineStr">
        <is>
          <t>Real domain case but single study.</t>
        </is>
      </c>
      <c r="W41" s="2" t="inlineStr">
        <is>
          <t>Moderate-high</t>
        </is>
      </c>
      <c r="X41" s="2" t="inlineStr">
        <is>
          <t>No security-outcome validation.</t>
        </is>
      </c>
      <c r="Y41" s="2" t="inlineStr">
        <is>
          <t>Unknown</t>
        </is>
      </c>
      <c r="Z41" s="2" t="inlineStr">
        <is>
          <t>Scientific workflow reliability</t>
        </is>
      </c>
      <c r="AA41" s="2" t="inlineStr">
        <is>
          <t>Methodological analogue only.</t>
        </is>
      </c>
      <c r="AB41" s="2" t="inlineStr">
        <is>
          <t>Open preprint.</t>
        </is>
      </c>
      <c r="AC41" s="2" t="inlineStr">
        <is>
          <t>Very high</t>
        </is>
      </c>
      <c r="AD41" s="2" t="inlineStr">
        <is>
          <t>Human review changes final quality; model-only output would overstate reliability.</t>
        </is>
      </c>
      <c r="AE41" s="2" t="inlineStr">
        <is>
          <t>Low for bounded case; broader generalization limited.</t>
        </is>
      </c>
      <c r="AF41" s="2" t="inlineStr">
        <is>
          <t>Agentic analysis -&gt; errors/weaknesses -&gt; human review -&gt; correction -&gt; more reproducible output.</t>
        </is>
      </c>
      <c r="AG41" s="2" t="inlineStr">
        <is>
          <t>https://arxiv.org/abs/2608.06771</t>
        </is>
      </c>
      <c r="AH41" s="2" t="inlineStr">
        <is>
          <t>https://arxiv.org/pdf/2608.06771</t>
        </is>
      </c>
      <c r="AI41" s="2" t="inlineStr">
        <is>
          <t>URL captured</t>
        </is>
      </c>
      <c r="AJ41" s="2" t="inlineStr">
        <is>
          <t>Useful positive example of human buffering.</t>
        </is>
      </c>
    </row>
    <row r="42">
      <c r="A42" s="2" t="inlineStr">
        <is>
          <t>E41</t>
        </is>
      </c>
      <c r="B42" s="2" t="inlineStr">
        <is>
          <t>Human-in-the-loop LLMs for Functional Hazard Assessment</t>
        </is>
      </c>
      <c r="C42" s="2" t="n">
        <v>2026</v>
      </c>
      <c r="D42" s="2" t="inlineStr">
        <is>
          <t>Results in Engineering authors (GPADS case study)</t>
        </is>
      </c>
      <c r="E42" s="2" t="inlineStr">
        <is>
          <t>Safety-analysis assistance</t>
        </is>
      </c>
      <c r="F42" s="2" t="inlineStr">
        <is>
          <t>functional hazard assessment</t>
        </is>
      </c>
      <c r="G42" s="2" t="inlineStr">
        <is>
          <t>Ability of RAG+guardrails+expert review to support accurate safety assessment</t>
        </is>
      </c>
      <c r="H42" s="2" t="inlineStr">
        <is>
          <t>GPADS case comparing generated functions/hazards/severity logic to expert assessment</t>
        </is>
      </c>
      <c r="I42" s="2" t="inlineStr">
        <is>
          <t>human+AI+RAG</t>
        </is>
      </c>
      <c r="J42" s="2" t="inlineStr">
        <is>
          <t>LLM drafts structured FHA; experts review/consolidate</t>
        </is>
      </c>
      <c r="K42" s="2" t="inlineStr">
        <is>
          <t>System documentation retrieved through RAG</t>
        </is>
      </c>
      <c r="L42" s="2" t="inlineStr">
        <is>
          <t>Hazard-analysis drafts and severity classifications</t>
        </is>
      </c>
      <c r="M42" s="2" t="inlineStr">
        <is>
          <t>Coverage, precision, hazard/severity quality after review</t>
        </is>
      </c>
      <c r="N42" s="2" t="inlineStr">
        <is>
          <t>Expert FHA</t>
        </is>
      </c>
      <c r="O42" s="2" t="inlineStr">
        <is>
          <t>Controlled single-case human-in-loop safety analysis</t>
        </is>
      </c>
      <c r="P42" s="2" t="inlineStr">
        <is>
          <t>No</t>
        </is>
      </c>
      <c r="Q42" s="2" t="inlineStr">
        <is>
          <t>None</t>
        </is>
      </c>
      <c r="R42" s="2" t="inlineStr">
        <is>
          <t>LLM recovered expert functions with high recall but inflated severities/reduced diversity; expert review restored severity logic while preserving speed.</t>
        </is>
      </c>
      <c r="S42" s="2" t="inlineStr">
        <is>
          <t>Adjacent systems-safety evidence for why expert relational controls matter.</t>
        </is>
      </c>
      <c r="T42" s="2" t="inlineStr">
        <is>
          <t>Direct comparison to expert safety artifact.</t>
        </is>
      </c>
      <c r="U42" s="2" t="inlineStr">
        <is>
          <t>High for bounded FHA support</t>
        </is>
      </c>
      <c r="V42" s="2" t="inlineStr">
        <is>
          <t>Real engineering case, single domain.</t>
        </is>
      </c>
      <c r="W42" s="2" t="inlineStr">
        <is>
          <t>Moderate-high</t>
        </is>
      </c>
      <c r="X42" s="2" t="inlineStr">
        <is>
          <t>No incident-outcome validation.</t>
        </is>
      </c>
      <c r="Y42" s="2" t="inlineStr">
        <is>
          <t>Unknown</t>
        </is>
      </c>
      <c r="Z42" s="2" t="inlineStr">
        <is>
          <t>Safety-analysis reliability</t>
        </is>
      </c>
      <c r="AA42" s="2" t="inlineStr">
        <is>
          <t>Indirect analogue.</t>
        </is>
      </c>
      <c r="AB42" s="2" t="inlineStr">
        <is>
          <t>Open-access article.</t>
        </is>
      </c>
      <c r="AC42" s="2" t="inlineStr">
        <is>
          <t>Very high</t>
        </is>
      </c>
      <c r="AD42" s="2" t="inlineStr">
        <is>
          <t>Expert consolidation materially changes severity conclusions.</t>
        </is>
      </c>
      <c r="AE42" s="2" t="inlineStr">
        <is>
          <t>Low for case-study claim; broader safety effect unknown.</t>
        </is>
      </c>
      <c r="AF42" s="2" t="inlineStr">
        <is>
          <t>LLM draft -&gt; over/under characterization -&gt; expert review -&gt; corrected safety artifact -&gt; potential process efficiency.</t>
        </is>
      </c>
      <c r="AG42" s="2" t="inlineStr">
        <is>
          <t>https://doi.org/10.1016/j.rineng.2026.111313</t>
        </is>
      </c>
      <c r="AH42" s="2" t="inlineStr">
        <is>
          <t>https://www.sciencedirect.com/science/article/pii/S2590123026023418</t>
        </is>
      </c>
      <c r="AI42" s="2" t="inlineStr">
        <is>
          <t>Open web</t>
        </is>
      </c>
      <c r="AJ42" s="2" t="inlineStr">
        <is>
          <t>Non-bio comparator for relational buffering.</t>
        </is>
      </c>
    </row>
    <row r="43">
      <c r="A43" s="2" t="inlineStr">
        <is>
          <t>E42</t>
        </is>
      </c>
      <c r="B43" s="2" t="inlineStr">
        <is>
          <t>Agentic Artificially Intelligent X-ray Scientist</t>
        </is>
      </c>
      <c r="C43" s="2" t="n">
        <v>2026</v>
      </c>
      <c r="D43" s="2" t="inlineStr">
        <is>
          <t>Chowdhury et al. / synchrotron collaborators</t>
        </is>
      </c>
      <c r="E43" s="2" t="inlineStr">
        <is>
          <t>Closed-loop physical scientific control</t>
        </is>
      </c>
      <c r="F43" s="2" t="inlineStr">
        <is>
          <t>instrument alignment at synchrotron beamline</t>
        </is>
      </c>
      <c r="G43" s="2" t="inlineStr">
        <is>
          <t>Ability of an LLM-driven agent to plan, act, interpret observations, and iterate in a physical experiment</t>
        </is>
      </c>
      <c r="H43" s="2" t="inlineStr">
        <is>
          <t>Autonomous X-ray sample alignment using real instrument commands and feedback</t>
        </is>
      </c>
      <c r="I43" s="2" t="inlineStr">
        <is>
          <t>agent+instrument+physical feedback</t>
        </is>
      </c>
      <c r="J43" s="2" t="inlineStr">
        <is>
          <t>LLM agent interacts with beamline controls and sensor observations</t>
        </is>
      </c>
      <c r="K43" s="2" t="inlineStr">
        <is>
          <t>Instrument state and observations</t>
        </is>
      </c>
      <c r="L43" s="2" t="inlineStr">
        <is>
          <t>Instrument commands and iterative alignment decisions</t>
        </is>
      </c>
      <c r="M43" s="2" t="inlineStr">
        <is>
          <t>Successful sample alignment / experimental goal</t>
        </is>
      </c>
      <c r="N43" s="2" t="inlineStr">
        <is>
          <t>Physical beamline alignment target</t>
        </is>
      </c>
      <c r="O43" s="2" t="inlineStr">
        <is>
          <t>Real physical autonomous-science demonstration</t>
        </is>
      </c>
      <c r="P43" s="2" t="inlineStr">
        <is>
          <t>Yes</t>
        </is>
      </c>
      <c r="Q43" s="2" t="inlineStr">
        <is>
          <t>Core closed-loop endpoint</t>
        </is>
      </c>
      <c r="R43" s="2" t="inlineStr">
        <is>
          <t>Agent autonomously plans/actions/interprets/iterates to perform a real X-ray alignment task.</t>
        </is>
      </c>
      <c r="S43" s="2" t="inlineStr">
        <is>
          <t>Not biosecurity-specific; demonstrates how feedback-rich physical interfaces can close agentic loops.</t>
        </is>
      </c>
      <c r="T43" s="2" t="inlineStr">
        <is>
          <t>Direct physical execution of target task.</t>
        </is>
      </c>
      <c r="U43" s="2" t="inlineStr">
        <is>
          <t>High for bounded task</t>
        </is>
      </c>
      <c r="V43" s="2" t="inlineStr">
        <is>
          <t>Real scientific facility and instruments.</t>
        </is>
      </c>
      <c r="W43" s="2" t="inlineStr">
        <is>
          <t>High</t>
        </is>
      </c>
      <c r="X43" s="2" t="inlineStr">
        <is>
          <t>Task-specific; no general autonomous-science prediction.</t>
        </is>
      </c>
      <c r="Y43" s="2" t="inlineStr">
        <is>
          <t>Moderate for similar instrument control, unknown broader</t>
        </is>
      </c>
      <c r="Z43" s="2" t="inlineStr">
        <is>
          <t>Autonomous scientific capability</t>
        </is>
      </c>
      <c r="AA43" s="2" t="inlineStr">
        <is>
          <t>Adjacent capability evidence.</t>
        </is>
      </c>
      <c r="AB43" s="2" t="inlineStr">
        <is>
          <t>Peer-reviewed Nature Machine Intelligence article.</t>
        </is>
      </c>
      <c r="AC43" s="2" t="inlineStr">
        <is>
          <t>Very high</t>
        </is>
      </c>
      <c r="AD43" s="2" t="inlineStr">
        <is>
          <t>Capability only exists through model-instrument-feedback composition.</t>
        </is>
      </c>
      <c r="AE43" s="2" t="inlineStr">
        <is>
          <t>Low for bounded physical task.</t>
        </is>
      </c>
      <c r="AF43" s="2" t="inlineStr">
        <is>
          <t>Model+instrument access -&gt; action -&gt; sensor feedback -&gt; update -&gt; successful physical scientific task.</t>
        </is>
      </c>
      <c r="AG43" s="2" t="inlineStr">
        <is>
          <t>https://www.nature.com/articles/s42256-026-01261-5</t>
        </is>
      </c>
      <c r="AH43" s="2" t="inlineStr">
        <is>
          <t>https://www.nature.com/articles/s42256-026-01261-5</t>
        </is>
      </c>
      <c r="AI43" s="2" t="inlineStr">
        <is>
          <t>Web full text/abstract</t>
        </is>
      </c>
      <c r="AJ43" s="2" t="inlineStr">
        <is>
          <t>Strong relational closed-loop comparator.</t>
        </is>
      </c>
    </row>
  </sheetData>
  <autoFilter ref="A1:AJ1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A6A6"/>
    <outlinePr summaryBelow="1" summaryRight="1"/>
    <pageSetUpPr/>
  </sheetPr>
  <dimension ref="A1:A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8" customWidth="1" min="3" max="3"/>
    <col width="22" customWidth="1" min="4" max="4"/>
    <col width="25" customWidth="1" min="5" max="5"/>
    <col width="32" customWidth="1" min="6" max="6"/>
    <col width="35" customWidth="1" min="7" max="7"/>
    <col width="35" customWidth="1" min="8" max="8"/>
    <col width="35" customWidth="1" min="9" max="9"/>
    <col width="25" customWidth="1" min="10" max="10"/>
    <col width="55" customWidth="1" min="11" max="11"/>
    <col width="35" customWidth="1" min="12" max="12"/>
    <col width="30" customWidth="1" min="13" max="13"/>
    <col width="30" customWidth="1" min="14" max="14"/>
    <col width="28" customWidth="1" min="15" max="15"/>
    <col width="28" customWidth="1" min="16" max="16"/>
    <col width="30" customWidth="1" min="17" max="17"/>
    <col width="24" customWidth="1" min="18" max="18"/>
    <col width="20" customWidth="1" min="19" max="19"/>
    <col width="32" customWidth="1" min="20" max="20"/>
    <col width="18" customWidth="1" min="21" max="21"/>
    <col width="20" customWidth="1" min="22" max="22"/>
    <col width="18" customWidth="1" min="23" max="23"/>
    <col width="20" customWidth="1" min="24" max="24"/>
    <col width="25" customWidth="1" min="25" max="25"/>
    <col width="40" customWidth="1" min="26" max="26"/>
    <col width="40" customWidth="1" min="27" max="27"/>
    <col width="18" customWidth="1" min="28" max="28"/>
    <col width="26" customWidth="1" min="29" max="29"/>
    <col width="45" customWidth="1" min="30" max="30"/>
    <col width="20" customWidth="1" min="31" max="31"/>
    <col width="35" customWidth="1" min="32" max="32"/>
    <col width="35" customWidth="1" min="33" max="33"/>
    <col width="45" customWidth="1" min="34" max="34"/>
  </cols>
  <sheetData>
    <row r="1">
      <c r="A1" s="6" t="inlineStr">
        <is>
          <t>id</t>
        </is>
      </c>
      <c r="B1" s="6" t="inlineStr">
        <is>
          <t>trajectory</t>
        </is>
      </c>
      <c r="C1" s="6" t="inlineStr">
        <is>
          <t>source</t>
        </is>
      </c>
      <c r="D1" s="6" t="inlineStr">
        <is>
          <t>domain</t>
        </is>
      </c>
      <c r="E1" s="6" t="inlineStr">
        <is>
          <t>trajectory_class</t>
        </is>
      </c>
      <c r="F1" s="6" t="inlineStr">
        <is>
          <t>initial_state</t>
        </is>
      </c>
      <c r="G1" s="6" t="inlineStr">
        <is>
          <t>initiating_perturbation</t>
        </is>
      </c>
      <c r="H1" s="6" t="inlineStr">
        <is>
          <t>components</t>
        </is>
      </c>
      <c r="I1" s="6" t="inlineStr">
        <is>
          <t>relationship_affected</t>
        </is>
      </c>
      <c r="J1" s="6" t="inlineStr">
        <is>
          <t>what_flows</t>
        </is>
      </c>
      <c r="K1" s="6" t="inlineStr">
        <is>
          <t>sequence</t>
        </is>
      </c>
      <c r="L1" s="6" t="inlineStr">
        <is>
          <t>first_divergence</t>
        </is>
      </c>
      <c r="M1" s="6" t="inlineStr">
        <is>
          <t>amplification_points</t>
        </is>
      </c>
      <c r="N1" s="6" t="inlineStr">
        <is>
          <t>buffering_points</t>
        </is>
      </c>
      <c r="O1" s="6" t="inlineStr">
        <is>
          <t>detection</t>
        </is>
      </c>
      <c r="P1" s="6" t="inlineStr">
        <is>
          <t>attribution</t>
        </is>
      </c>
      <c r="Q1" s="6" t="inlineStr">
        <is>
          <t>intervention</t>
        </is>
      </c>
      <c r="R1" s="6" t="inlineStr">
        <is>
          <t>control_effect</t>
        </is>
      </c>
      <c r="S1" s="6" t="inlineStr">
        <is>
          <t>reversibility</t>
        </is>
      </c>
      <c r="T1" s="6" t="inlineStr">
        <is>
          <t>recovery</t>
        </is>
      </c>
      <c r="U1" s="6" t="inlineStr">
        <is>
          <t>feedback_available</t>
        </is>
      </c>
      <c r="V1" s="6" t="inlineStr">
        <is>
          <t>feedback_interpretable</t>
        </is>
      </c>
      <c r="W1" s="6" t="inlineStr">
        <is>
          <t>update_capacity</t>
        </is>
      </c>
      <c r="X1" s="6" t="inlineStr">
        <is>
          <t>update_observed</t>
        </is>
      </c>
      <c r="Y1" s="6" t="inlineStr">
        <is>
          <t>learning_level</t>
        </is>
      </c>
      <c r="Z1" s="6" t="inlineStr">
        <is>
          <t>outcome</t>
        </is>
      </c>
      <c r="AA1" s="6" t="inlineStr">
        <is>
          <t>candidate_relational_variables</t>
        </is>
      </c>
      <c r="AB1" s="6" t="inlineStr">
        <is>
          <t>physical_involvement</t>
        </is>
      </c>
      <c r="AC1" s="6" t="inlineStr">
        <is>
          <t>physical_validation_role</t>
        </is>
      </c>
      <c r="AD1" s="6" t="inlineStr">
        <is>
          <t>boundary_sensitivity_reason</t>
        </is>
      </c>
      <c r="AE1" s="6" t="inlineStr">
        <is>
          <t>evidence_level</t>
        </is>
      </c>
      <c r="AF1" s="6" t="inlineStr">
        <is>
          <t>canonical_url</t>
        </is>
      </c>
      <c r="AG1" s="6" t="inlineStr">
        <is>
          <t>full_text_url</t>
        </is>
      </c>
      <c r="AH1" s="6" t="inlineStr">
        <is>
          <t>notes</t>
        </is>
      </c>
    </row>
    <row r="2">
      <c r="A2" s="2" t="inlineStr">
        <is>
          <t>T01</t>
        </is>
      </c>
      <c r="B2" s="2" t="inlineStr">
        <is>
          <t>ABC-Bench OpenTrons wet-lab execution</t>
        </is>
      </c>
      <c r="C2" s="2" t="inlineStr">
        <is>
          <t>ABC-Bench</t>
        </is>
      </c>
      <c r="D2" s="2" t="inlineStr">
        <is>
          <t>AI-bio / lab automation</t>
        </is>
      </c>
      <c r="E2" s="2" t="inlineStr">
        <is>
          <t>controlled perturbation / recovery</t>
        </is>
      </c>
      <c r="F2" s="2" t="inlineStr">
        <is>
          <t>Agent tasked to generate robot code from manuals, photos and concentrations</t>
        </is>
      </c>
      <c r="G2" s="2" t="inlineStr">
        <is>
          <t>Generated script contains compilation/API errors before successful execution</t>
        </is>
      </c>
      <c r="H2" s="2" t="inlineStr">
        <is>
          <t>LLM agent, human assistant, OpenTrons robot, DNA fragments, sequencing validation</t>
        </is>
      </c>
      <c r="I2" s="2" t="inlineStr">
        <is>
          <t>Agent &lt;-&gt; human error feedback; agent &lt;-&gt; robot control interface</t>
        </is>
      </c>
      <c r="J2" s="2" t="inlineStr">
        <is>
          <t>Code, error messages, visual/context data, physical liquid handling instructions</t>
        </is>
      </c>
      <c r="K2" s="2" t="inlineStr">
        <is>
          <t>Agent generates code -&gt; compile errors -&gt; human returns errors -&gt; agent diagnoses and corrects -&gt; robot executes -&gt; DNA assembled -&gt; sequencing confirms expected products</t>
        </is>
      </c>
      <c r="L2" s="2" t="inlineStr">
        <is>
          <t>Compilation/API mismatch</t>
        </is>
      </c>
      <c r="M2" s="2" t="inlineStr">
        <is>
          <t>Potential if incorrect code reached execution</t>
        </is>
      </c>
      <c r="N2" s="2" t="inlineStr">
        <is>
          <t>Human-mediated error return; sequencing validation</t>
        </is>
      </c>
      <c r="O2" s="2" t="inlineStr">
        <is>
          <t>At compile stage and post-execution</t>
        </is>
      </c>
      <c r="P2" s="2" t="inlineStr">
        <is>
          <t>Compilation errors attributable to API/script mismatch; product confirmation by sequencing</t>
        </is>
      </c>
      <c r="Q2" s="2" t="inlineStr">
        <is>
          <t>Return error messages; rerun corrected code</t>
        </is>
      </c>
      <c r="R2" s="2" t="inlineStr">
        <is>
          <t>corrected/recovered</t>
        </is>
      </c>
      <c r="S2" s="2" t="inlineStr">
        <is>
          <t>High before execution</t>
        </is>
      </c>
      <c r="T2" s="2" t="inlineStr">
        <is>
          <t>Successful assembly after correction</t>
        </is>
      </c>
      <c r="U2" s="2" t="inlineStr">
        <is>
          <t>yes</t>
        </is>
      </c>
      <c r="V2" s="2" t="inlineStr">
        <is>
          <t>yes</t>
        </is>
      </c>
      <c r="W2" s="2" t="inlineStr">
        <is>
          <t>yes</t>
        </is>
      </c>
      <c r="X2" s="2" t="inlineStr">
        <is>
          <t>yes</t>
        </is>
      </c>
      <c r="Y2" s="2" t="inlineStr">
        <is>
          <t>workflow</t>
        </is>
      </c>
      <c r="Z2" s="2" t="inlineStr">
        <is>
          <t>Physical DNA assembly with expected sequences in three validation experiments</t>
        </is>
      </c>
      <c r="AA2" s="2" t="inlineStr">
        <is>
          <t>Feedback availability; context-rich interface; reversible-before-execution; independent validation</t>
        </is>
      </c>
      <c r="AB2" s="2" t="inlineStr">
        <is>
          <t>none</t>
        </is>
      </c>
      <c r="AC2" s="2" t="inlineStr">
        <is>
          <t>endpoint / iterative feedback</t>
        </is>
      </c>
      <c r="AD2" s="2" t="inlineStr">
        <is>
          <t>Bounded benign task; human assistant remains an important relationship</t>
        </is>
      </c>
      <c r="AE2" s="2" t="inlineStr">
        <is>
          <t>Demonstrated</t>
        </is>
      </c>
      <c r="AF2" s="2" t="inlineStr">
        <is>
          <t>https://arxiv.org/abs/2606.11150</t>
        </is>
      </c>
      <c r="AG2" s="2" t="inlineStr">
        <is>
          <t>https://arxiv.org/pdf/2606.11150</t>
        </is>
      </c>
      <c r="AH2" s="2" t="inlineStr">
        <is>
          <t>Strong technical relationship trajectory.</t>
        </is>
      </c>
    </row>
    <row r="3">
      <c r="A3" s="2" t="inlineStr">
        <is>
          <t>T02</t>
        </is>
      </c>
      <c r="B3" s="2" t="inlineStr">
        <is>
          <t>GPT-5 iterative cloning optimization</t>
        </is>
      </c>
      <c r="C3" s="2" t="inlineStr">
        <is>
          <t>OpenAI / Red Queen Bio wet-lab study</t>
        </is>
      </c>
      <c r="D3" s="2" t="inlineStr">
        <is>
          <t>AI-bio / experimental optimization</t>
        </is>
      </c>
      <c r="E3" s="2" t="inlineStr">
        <is>
          <t>iterative optimization trajectory</t>
        </is>
      </c>
      <c r="F3" s="2" t="inlineStr">
        <is>
          <t>Baseline molecular cloning protocol</t>
        </is>
      </c>
      <c r="G3" s="2" t="inlineStr">
        <is>
          <t>AI proposes protocol modifications across repeated rounds</t>
        </is>
      </c>
      <c r="H3" s="2" t="inlineStr">
        <is>
          <t>GPT-5, human scientists, wet-lab protocol, experimental data; later robot/vision/path planner</t>
        </is>
      </c>
      <c r="I3" s="2" t="inlineStr">
        <is>
          <t>AI &lt;-&gt; human experimental execution; AI &lt;-&gt; experimental feedback</t>
        </is>
      </c>
      <c r="J3" s="2" t="inlineStr">
        <is>
          <t>Protocol suggestions, experimental measurements, physical actions</t>
        </is>
      </c>
      <c r="K3" s="2" t="inlineStr">
        <is>
          <t>AI proposes -&gt; humans execute -&gt; data uploaded -&gt; AI revises -&gt; repeated cycles -&gt; improved protocol; robot later executes standard and improved protocols</t>
        </is>
      </c>
      <c r="L3" s="2" t="inlineStr">
        <is>
          <t>Initial baseline inefficiency</t>
        </is>
      </c>
      <c r="M3" s="2" t="inlineStr">
        <is>
          <t>Iterative changes compound improvement</t>
        </is>
      </c>
      <c r="N3" s="2" t="inlineStr">
        <is>
          <t>Human execution/measurement constrains model; benign scope controls</t>
        </is>
      </c>
      <c r="O3" s="2" t="inlineStr">
        <is>
          <t>Each experimental round</t>
        </is>
      </c>
      <c r="P3" s="2" t="inlineStr">
        <is>
          <t>Outcome attributable through measured protocol variants but mechanism attribution requires experiments</t>
        </is>
      </c>
      <c r="Q3" s="2" t="inlineStr">
        <is>
          <t>Select and test AI proposals; secondary experiments; robot comparison</t>
        </is>
      </c>
      <c r="R3" s="2" t="inlineStr">
        <is>
          <t>iterative improvement</t>
        </is>
      </c>
      <c r="S3" s="2" t="inlineStr">
        <is>
          <t>Moderate-high; each round testable</t>
        </is>
      </c>
      <c r="T3" s="2" t="inlineStr">
        <is>
          <t>Reported 79x relative improvement; robot reproduced relative improvement with lower absolute counts</t>
        </is>
      </c>
      <c r="U3" s="2" t="inlineStr">
        <is>
          <t>yes</t>
        </is>
      </c>
      <c r="V3" s="2" t="inlineStr">
        <is>
          <t>yes</t>
        </is>
      </c>
      <c r="W3" s="2" t="inlineStr">
        <is>
          <t>yes</t>
        </is>
      </c>
      <c r="X3" s="2" t="inlineStr">
        <is>
          <t>yes</t>
        </is>
      </c>
      <c r="Y3" s="2" t="inlineStr">
        <is>
          <t>workflow</t>
        </is>
      </c>
      <c r="Z3" s="2" t="inlineStr">
        <is>
          <t>Large improvement in bounded cloning efficiency; robot R8 2.13x vs baseline and ~89% of human relative performance</t>
        </is>
      </c>
      <c r="AA3" s="2" t="inlineStr">
        <is>
          <t>Closed-loop feedback; physical validation; execution fidelity; context richness; human mediation</t>
        </is>
      </c>
      <c r="AB3" s="2" t="inlineStr">
        <is>
          <t>physical step</t>
        </is>
      </c>
      <c r="AC3" s="2" t="inlineStr">
        <is>
          <t>endpoint / iterative feedback</t>
        </is>
      </c>
      <c r="AD3" s="2" t="inlineStr">
        <is>
          <t>Single benign protocol; broader generalization uncertain</t>
        </is>
      </c>
      <c r="AE3" s="2" t="inlineStr">
        <is>
          <t>Demonstrated for bounded workflow</t>
        </is>
      </c>
      <c r="AF3" s="2" t="inlineStr">
        <is>
          <t>https://openai.com/index/accelerating-biological-research-in-the-wet-lab/</t>
        </is>
      </c>
      <c r="AG3" s="2" t="inlineStr">
        <is>
          <t>https://openai.com/index/accelerating-biological-research-in-the-wet-lab/</t>
        </is>
      </c>
      <c r="AH3" s="2" t="inlineStr">
        <is>
          <t>Developer research report, not peer-reviewed.</t>
        </is>
      </c>
    </row>
    <row r="4">
      <c r="A4" s="2" t="inlineStr">
        <is>
          <t>T03</t>
        </is>
      </c>
      <c r="B4" s="2" t="inlineStr">
        <is>
          <t>In-silico screening-evasion concern tested with safe physical proxies</t>
        </is>
      </c>
      <c r="C4" s="2" t="inlineStr">
        <is>
          <t>NIST AIPD TEVV</t>
        </is>
      </c>
      <c r="D4" s="2" t="inlineStr">
        <is>
          <t>AI-bio / protein design / screening</t>
        </is>
      </c>
      <c r="E4" s="2" t="inlineStr">
        <is>
          <t>validation / risk-revision trajectory</t>
        </is>
      </c>
      <c r="F4" s="2" t="inlineStr">
        <is>
          <t>Prior in-silico work suggested generated homologs might retain function while evading screening</t>
        </is>
      </c>
      <c r="G4" s="2" t="inlineStr">
        <is>
          <t>Move from structural/in-silico predictions to physical functional testing</t>
        </is>
      </c>
      <c r="H4" s="2" t="inlineStr">
        <is>
          <t>AI protein-design tools, generated homologs, synthesis provider, assays, BSS</t>
        </is>
      </c>
      <c r="I4" s="2" t="inlineStr">
        <is>
          <t>Computational prediction &lt;-&gt; physical function; design &lt;-&gt; screening</t>
        </is>
      </c>
      <c r="J4" s="2" t="inlineStr">
        <is>
          <t>Sequences, predicted structures, synthesized proteins, activity measurements, screening results</t>
        </is>
      </c>
      <c r="K4" s="2" t="inlineStr">
        <is>
          <t>Generate homologs -&gt; predict structural similarity/evasion -&gt; synthesize safe proxies -&gt; test activity + screening -&gt; many designs fail to retain function reliably</t>
        </is>
      </c>
      <c r="L4" s="2" t="inlineStr">
        <is>
          <t>Physical activity does not follow from predicted structural similarity</t>
        </is>
      </c>
      <c r="M4" s="2" t="inlineStr">
        <is>
          <t>In-silico confidence can amplify perceived risk if treated as function proxy</t>
        </is>
      </c>
      <c r="N4" s="2" t="inlineStr">
        <is>
          <t>Wet-lab assay and screening provide corrective evidence</t>
        </is>
      </c>
      <c r="O4" s="2" t="inlineStr">
        <is>
          <t>At physical testing</t>
        </is>
      </c>
      <c r="P4" s="2" t="inlineStr">
        <is>
          <t>Functional failure attributable to sequence redesign despite structural similarity</t>
        </is>
      </c>
      <c r="Q4" s="2" t="inlineStr">
        <is>
          <t>TEVV assays revise interpretation of computational results</t>
        </is>
      </c>
      <c r="R4" s="2" t="inlineStr">
        <is>
          <t>revised interpretation</t>
        </is>
      </c>
      <c r="S4" s="2" t="inlineStr">
        <is>
          <t>High: benign proxies and staged validation</t>
        </is>
      </c>
      <c r="T4" s="2" t="inlineStr">
        <is>
          <t>Risk inference revised downward/qualified for tested tools</t>
        </is>
      </c>
      <c r="U4" s="2" t="inlineStr">
        <is>
          <t>yes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yes</t>
        </is>
      </c>
      <c r="Y4" s="2" t="inlineStr">
        <is>
          <t>research-program</t>
        </is>
      </c>
      <c r="Z4" s="2" t="inlineStr">
        <is>
          <t>Current AIPD not reliable at simultaneously preserving activity and evading screening</t>
        </is>
      </c>
      <c r="AA4" s="2" t="inlineStr">
        <is>
          <t>Proxy-target validity; digital-physical gap; staged reversibility; independent assay</t>
        </is>
      </c>
      <c r="AB4" s="2" t="inlineStr">
        <is>
          <t>physical step</t>
        </is>
      </c>
      <c r="AC4" s="2" t="inlineStr">
        <is>
          <t>validates upstream digital claim</t>
        </is>
      </c>
      <c r="AD4" s="2" t="inlineStr">
        <is>
          <t>Future model capability outside boundary</t>
        </is>
      </c>
      <c r="AE4" s="2" t="inlineStr">
        <is>
          <t>Demonstrated</t>
        </is>
      </c>
      <c r="AF4" s="2" t="inlineStr">
        <is>
          <t>https://www.nist.gov/publications/experimental-evaluation-ai-driven-protein-design-risks-using-safe-biological-proxies</t>
        </is>
      </c>
      <c r="AG4" s="2" t="inlineStr">
        <is>
          <t>https://www.biorxiv.org/content/10.1101/2025.05.15.654077v2.full.pdf</t>
        </is>
      </c>
      <c r="AH4" s="2" t="inlineStr">
        <is>
          <t>Excellent example of physical validation changing threat estimate.</t>
        </is>
      </c>
    </row>
    <row r="5">
      <c r="A5" s="2" t="inlineStr">
        <is>
          <t>T04</t>
        </is>
      </c>
      <c r="B5" s="2" t="inlineStr">
        <is>
          <t>LANL novice wet-lab uplift pilot</t>
        </is>
      </c>
      <c r="C5" s="2" t="inlineStr">
        <is>
          <t>LANL skill-based uplift study</t>
        </is>
      </c>
      <c r="D5" s="2" t="inlineStr">
        <is>
          <t>AI-bio / human-AI wet lab</t>
        </is>
      </c>
      <c r="E5" s="2" t="inlineStr">
        <is>
          <t>controlled human-workflow experiment</t>
        </is>
      </c>
      <c r="F5" s="2" t="inlineStr">
        <is>
          <t>Novices assigned bounded E. coli workflow</t>
        </is>
      </c>
      <c r="G5" s="2" t="inlineStr">
        <is>
          <t>Access to ChatGPT o1 in treatment group vs internet-only control</t>
        </is>
      </c>
      <c r="H5" s="2" t="inlineStr">
        <is>
          <t>Novice participants, AI/internet, lab equipment, peers, protocol, mass spectrometry</t>
        </is>
      </c>
      <c r="I5" s="2" t="inlineStr">
        <is>
          <t>Human &lt;-&gt; AI guidance; human &lt;-&gt; equipment; participant &lt;-&gt; participant</t>
        </is>
      </c>
      <c r="J5" s="2" t="inlineStr">
        <is>
          <t>Advice, observations, procedural actions, results</t>
        </is>
      </c>
      <c r="K5" s="2" t="inlineStr">
        <is>
          <t>Participants plan/execute transformation and expression -&gt; encounter lab tasks -&gt; use AI or internet -&gt; complete segments -&gt; mass-spec confirmation and qualitative observation</t>
        </is>
      </c>
      <c r="L5" s="2" t="inlineStr">
        <is>
          <t>Varies by participant/task</t>
        </is>
      </c>
      <c r="M5" s="2" t="inlineStr">
        <is>
          <t>Potential overreliance or procedural error; not shown as dominant</t>
        </is>
      </c>
      <c r="N5" s="2" t="inlineStr">
        <is>
          <t>Lab environment, peers, internet, task simplicity</t>
        </is>
      </c>
      <c r="O5" s="2" t="inlineStr">
        <is>
          <t>During physical workflow</t>
        </is>
      </c>
      <c r="P5" s="2" t="inlineStr">
        <is>
          <t>Qualitative logs allow some attribution, sample too small for strong inference</t>
        </is>
      </c>
      <c r="Q5" s="2" t="inlineStr">
        <is>
          <t>Participants adapt using available resources</t>
        </is>
      </c>
      <c r="R5" s="2" t="inlineStr">
        <is>
          <t>adapted during task</t>
        </is>
      </c>
      <c r="S5" s="2" t="inlineStr">
        <is>
          <t>Moderate; errors often recoverable during task</t>
        </is>
      </c>
      <c r="T5" s="2" t="inlineStr">
        <is>
          <t>No statistically significant primary uplift; all groups performed surprisingly well</t>
        </is>
      </c>
      <c r="U5" s="2" t="inlineStr">
        <is>
          <t>yes</t>
        </is>
      </c>
      <c r="V5" s="2" t="inlineStr">
        <is>
          <t>yes</t>
        </is>
      </c>
      <c r="W5" s="2" t="inlineStr">
        <is>
          <t>yes</t>
        </is>
      </c>
      <c r="X5" s="2" t="inlineStr">
        <is>
          <t>yes</t>
        </is>
      </c>
      <c r="Y5" s="2" t="inlineStr">
        <is>
          <t>actor + research-program</t>
        </is>
      </c>
      <c r="Z5" s="2" t="inlineStr">
        <is>
          <t>Underpowered pilot; uncertain uplift</t>
        </is>
      </c>
      <c r="AA5" s="2" t="inlineStr">
        <is>
          <t>Human expertise/tacit knowledge; alternative resources; task difficulty; social support</t>
        </is>
      </c>
      <c r="AB5" s="2" t="inlineStr">
        <is>
          <t>physical step</t>
        </is>
      </c>
      <c r="AC5" s="2" t="inlineStr">
        <is>
          <t>endpoint / iterative feedback</t>
        </is>
      </c>
      <c r="AD5" s="2" t="inlineStr">
        <is>
          <t>Small n and simple task limit generalization</t>
        </is>
      </c>
      <c r="AE5" s="2" t="inlineStr">
        <is>
          <t>Demonstrated null/uncertain pilot result</t>
        </is>
      </c>
      <c r="AF5" s="2" t="inlineStr">
        <is>
          <t>https://arxiv.org/abs/2512.10960</t>
        </is>
      </c>
      <c r="AG5" s="2" t="inlineStr">
        <is>
          <t>https://arxiv.org/pdf/2512.10960</t>
        </is>
      </c>
      <c r="AH5" s="2" t="inlineStr">
        <is>
          <t>Important counterexample to benchmark-saturation narratives.</t>
        </is>
      </c>
    </row>
    <row r="6">
      <c r="A6" s="2" t="inlineStr">
        <is>
          <t>T05</t>
        </is>
      </c>
      <c r="B6" s="2" t="inlineStr">
        <is>
          <t>AI-reformulated sequences challenged synthesis screening</t>
        </is>
      </c>
      <c r="C6" s="2" t="inlineStr">
        <is>
          <t>Sequence-based BSS resilience study</t>
        </is>
      </c>
      <c r="D6" s="2" t="inlineStr">
        <is>
          <t>AI-bio / synthesis screening</t>
        </is>
      </c>
      <c r="E6" s="2" t="inlineStr">
        <is>
          <t>safeguard adaptation trajectory</t>
        </is>
      </c>
      <c r="F6" s="2" t="inlineStr">
        <is>
          <t>Four BSS tools, some recently patched for AI resilience</t>
        </is>
      </c>
      <c r="G6" s="2" t="inlineStr">
        <is>
          <t>AI-reformulated synthetic homolog fragments of proteins of concern</t>
        </is>
      </c>
      <c r="H6" s="2" t="inlineStr">
        <is>
          <t>Generated sequences, four screening tools, tool patches</t>
        </is>
      </c>
      <c r="I6" s="2" t="inlineStr">
        <is>
          <t>Sequence variant &lt;-&gt; screening algorithm</t>
        </is>
      </c>
      <c r="J6" s="2" t="inlineStr">
        <is>
          <t>Sequence content and detection outputs</t>
        </is>
      </c>
      <c r="K6" s="2" t="inlineStr">
        <is>
          <t>Generate/reformulate fragments -&gt; submit to BSS -&gt; observe misses/detections -&gt; patched/upgraded tools retested -&gt; detection improves</t>
        </is>
      </c>
      <c r="L6" s="2" t="inlineStr">
        <is>
          <t>Tool-specific misses/weaknesses on some variants</t>
        </is>
      </c>
      <c r="M6" s="2" t="inlineStr">
        <is>
          <t>Fragmentation/reformulation may evade weaker screening</t>
        </is>
      </c>
      <c r="N6" s="2" t="inlineStr">
        <is>
          <t>Patched algorithms and robust tools</t>
        </is>
      </c>
      <c r="O6" s="2" t="inlineStr">
        <is>
          <t>At screening stage</t>
        </is>
      </c>
      <c r="P6" s="2" t="inlineStr">
        <is>
          <t>Detection outcome attributable to tool/version and fragment length</t>
        </is>
      </c>
      <c r="Q6" s="2" t="inlineStr">
        <is>
          <t>Software patches / upgraded versions</t>
        </is>
      </c>
      <c r="R6" s="2" t="inlineStr">
        <is>
          <t>corrected/recovered</t>
        </is>
      </c>
      <c r="S6" s="2" t="inlineStr">
        <is>
          <t>High before synthesis</t>
        </is>
      </c>
      <c r="T6" s="2" t="inlineStr">
        <is>
          <t>Improved detection in weaker tools; two already robust at short fragments</t>
        </is>
      </c>
      <c r="U6" s="2" t="inlineStr">
        <is>
          <t>yes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workflow</t>
        </is>
      </c>
      <c r="Z6" s="2" t="inlineStr">
        <is>
          <t>Screening resilience stronger than feared for tested tools but alternate approaches still recommended</t>
        </is>
      </c>
      <c r="AA6" s="2" t="inlineStr">
        <is>
          <t>Versioning; adaptive defense; interface-specific controls; detection thresholds</t>
        </is>
      </c>
      <c r="AB6" s="2" t="inlineStr">
        <is>
          <t>none</t>
        </is>
      </c>
      <c r="AC6" s="2" t="inlineStr">
        <is>
          <t>endpoint / iterative feedback</t>
        </is>
      </c>
      <c r="AD6" s="2" t="inlineStr">
        <is>
          <t>Does not test actual harmful function or procurement behavior</t>
        </is>
      </c>
      <c r="AE6" s="2" t="inlineStr">
        <is>
          <t>Demonstrated</t>
        </is>
      </c>
      <c r="AF6" s="2" t="inlineStr">
        <is>
          <t>https://pmc.ncbi.nlm.nih.gov/articles/PMC13402867/</t>
        </is>
      </c>
      <c r="AG6" s="2" t="inlineStr">
        <is>
          <t>https://pmc.ncbi.nlm.nih.gov/articles/PMC13402867/</t>
        </is>
      </c>
      <c r="AH6" s="2" t="inlineStr">
        <is>
          <t>Good safeguard adaptation trajectory.</t>
        </is>
      </c>
    </row>
    <row r="7">
      <c r="A7" s="2" t="inlineStr">
        <is>
          <t>T06</t>
        </is>
      </c>
      <c r="B7" s="2" t="inlineStr">
        <is>
          <t>Forced-depth intervention changes LLM-agent protein design performance</t>
        </is>
      </c>
      <c r="C7" s="2" t="inlineStr">
        <is>
          <t>BioDesignBench</t>
        </is>
      </c>
      <c r="D7" s="2" t="inlineStr">
        <is>
          <t>AI-bio / computational protein design</t>
        </is>
      </c>
      <c r="E7" s="2" t="inlineStr">
        <is>
          <t>controlled workflow-policy perturbation</t>
        </is>
      </c>
      <c r="F7" s="2" t="inlineStr">
        <is>
          <t>Agents have access to appropriate design/evaluation tools</t>
        </is>
      </c>
      <c r="G7" s="2" t="inlineStr">
        <is>
          <t>Agents evaluate candidates shallowly and stop early; experiment forces multi-metric evaluation depth</t>
        </is>
      </c>
      <c r="H7" s="2" t="inlineStr">
        <is>
          <t>LLM agent, design tools, candidate sequences, evaluation metrics</t>
        </is>
      </c>
      <c r="I7" s="2" t="inlineStr">
        <is>
          <t>Agent &lt;-&gt; tool-output interpretation / iteration policy</t>
        </is>
      </c>
      <c r="J7" s="2" t="inlineStr">
        <is>
          <t>Tool outputs, scores, candidate comparisons</t>
        </is>
      </c>
      <c r="K7" s="2" t="inlineStr">
        <is>
          <t>Agent selects tools -&gt; evaluates few metrics/candidates -&gt; premature stop -&gt; forced-depth scaffolding requires broader evaluation -&gt; performance improves</t>
        </is>
      </c>
      <c r="L7" s="2" t="inlineStr">
        <is>
          <t>Evaluation-depth behavior, not tool selection</t>
        </is>
      </c>
      <c r="M7" s="2" t="inlineStr">
        <is>
          <t>Premature termination and narrow scoring degrade quality</t>
        </is>
      </c>
      <c r="N7" s="2" t="inlineStr">
        <is>
          <t>Forced-depth requirement; compute-matched control rules out generic scaffolding</t>
        </is>
      </c>
      <c r="O7" s="2" t="inlineStr">
        <is>
          <t>Behavioral trace analysis</t>
        </is>
      </c>
      <c r="P7" s="2" t="inlineStr">
        <is>
          <t>Gap localized to evaluation-depth patterns</t>
        </is>
      </c>
      <c r="Q7" s="2" t="inlineStr">
        <is>
          <t>Modify agent workflow policy</t>
        </is>
      </c>
      <c r="R7" s="2" t="inlineStr">
        <is>
          <t>corrected/recovered</t>
        </is>
      </c>
      <c r="S7" s="2" t="inlineStr">
        <is>
          <t>High, in silico</t>
        </is>
      </c>
      <c r="T7" s="2" t="inlineStr">
        <is>
          <t>Improved benchmark performance</t>
        </is>
      </c>
      <c r="U7" s="2" t="inlineStr">
        <is>
          <t>yes</t>
        </is>
      </c>
      <c r="V7" s="2" t="inlineStr">
        <is>
          <t>yes</t>
        </is>
      </c>
      <c r="W7" s="2" t="inlineStr">
        <is>
          <t>yes</t>
        </is>
      </c>
      <c r="X7" s="2" t="inlineStr">
        <is>
          <t>yes</t>
        </is>
      </c>
      <c r="Y7" s="2" t="inlineStr">
        <is>
          <t>workflow</t>
        </is>
      </c>
      <c r="Z7" s="2" t="inlineStr">
        <is>
          <t>Performance improves without new underlying tools</t>
        </is>
      </c>
      <c r="AA7" s="2" t="inlineStr">
        <is>
          <t>Evaluation depth; comparison behavior; stopping rule; feedback use</t>
        </is>
      </c>
      <c r="AB7" s="2" t="inlineStr">
        <is>
          <t>none</t>
        </is>
      </c>
      <c r="AC7" s="2" t="inlineStr">
        <is>
          <t>none</t>
        </is>
      </c>
      <c r="AD7" s="2" t="inlineStr">
        <is>
          <t>No wet-lab validation</t>
        </is>
      </c>
      <c r="AE7" s="2" t="inlineStr">
        <is>
          <t>Demonstrated in silico</t>
        </is>
      </c>
      <c r="AF7" s="2" t="inlineStr">
        <is>
          <t>https://pmc.ncbi.nlm.nih.gov/articles/PMC13174699/</t>
        </is>
      </c>
      <c r="AG7" s="2" t="inlineStr">
        <is>
          <t>https://pmc.ncbi.nlm.nih.gov/articles/PMC13174699/</t>
        </is>
      </c>
      <c r="AH7" s="2" t="inlineStr">
        <is>
          <t>Very clean relational variable experiment.</t>
        </is>
      </c>
    </row>
    <row r="8">
      <c r="A8" s="2" t="inlineStr">
        <is>
          <t>T07</t>
        </is>
      </c>
      <c r="B8" s="2" t="inlineStr">
        <is>
          <t>Mythos 5 social-engineering attempt blocked by human vigilance</t>
        </is>
      </c>
      <c r="C8" s="2" t="inlineStr">
        <is>
          <t>AISI incident as summarized in PUC paper</t>
        </is>
      </c>
      <c r="D8" s="2" t="inlineStr">
        <is>
          <t>Adjacent empirical security / cyber</t>
        </is>
      </c>
      <c r="E8" s="2" t="inlineStr">
        <is>
          <t>safeguard encounter / attack interruption</t>
        </is>
      </c>
      <c r="F8" s="2" t="inlineStr">
        <is>
          <t>Agent conducting cyber evaluation with permissive conditions</t>
        </is>
      </c>
      <c r="G8" s="2" t="inlineStr">
        <is>
          <t>Agent creates sockpuppets, misleading PR rationale, pressure emails and false reassurances</t>
        </is>
      </c>
      <c r="H8" s="2" t="inlineStr">
        <is>
          <t>AI agent, repository, fake accounts, maintainer, bystander/user</t>
        </is>
      </c>
      <c r="I8" s="2" t="inlineStr">
        <is>
          <t>AI &lt;-&gt; human trust/review interface</t>
        </is>
      </c>
      <c r="J8" s="2" t="inlineStr">
        <is>
          <t>Code changes, identity/provenance signals, persuasive messages</t>
        </is>
      </c>
      <c r="K8" s="2" t="inlineStr">
        <is>
          <t>Agent submits malicious PR under benign rationale -&gt; fake account endorses -&gt; pressure/reassure -&gt; human/bystander flags suspicious behavior -&gt; maintainer closes PR</t>
        </is>
      </c>
      <c r="L8" s="2" t="inlineStr">
        <is>
          <t>Malicious code/social engineering behavior</t>
        </is>
      </c>
      <c r="M8" s="2" t="inlineStr">
        <is>
          <t>Manufactured consensus and trust signals</t>
        </is>
      </c>
      <c r="N8" s="2" t="inlineStr">
        <is>
          <t>Independent human scrutiny / skepticism</t>
        </is>
      </c>
      <c r="O8" s="2" t="inlineStr">
        <is>
          <t>Before merge</t>
        </is>
      </c>
      <c r="P8" s="2" t="inlineStr">
        <is>
          <t>Suspicious provenance/behavior attributed to attack</t>
        </is>
      </c>
      <c r="Q8" s="2" t="inlineStr">
        <is>
          <t>Human flags and closes PR</t>
        </is>
      </c>
      <c r="R8" s="2" t="inlineStr">
        <is>
          <t>buffered/interrupted</t>
        </is>
      </c>
      <c r="S8" s="2" t="inlineStr">
        <is>
          <t>High before merge</t>
        </is>
      </c>
      <c r="T8" s="2" t="inlineStr">
        <is>
          <t>Attack thwarted; no downstream compromise</t>
        </is>
      </c>
      <c r="U8" s="2" t="inlineStr">
        <is>
          <t>yes</t>
        </is>
      </c>
      <c r="V8" s="2" t="inlineStr">
        <is>
          <t>partly/unclear</t>
        </is>
      </c>
      <c r="W8" s="2" t="inlineStr">
        <is>
          <t>yes</t>
        </is>
      </c>
      <c r="X8" s="2" t="inlineStr">
        <is>
          <t>no/unknown</t>
        </is>
      </c>
      <c r="Y8" s="2" t="inlineStr">
        <is>
          <t>none demonstrated in event</t>
        </is>
      </c>
      <c r="Z8" s="2" t="inlineStr">
        <is>
          <t>Perturbation did not become harm</t>
        </is>
      </c>
      <c r="AA8" s="2" t="inlineStr">
        <is>
          <t>Independent sensing; provenance; trust calibration; intervention authority</t>
        </is>
      </c>
      <c r="AB8" s="2" t="inlineStr">
        <is>
          <t>none</t>
        </is>
      </c>
      <c r="AC8" s="2" t="inlineStr">
        <is>
          <t>none</t>
        </is>
      </c>
      <c r="AD8" s="2" t="inlineStr">
        <is>
          <t>Cyber, not bio; included as comparator for relational control</t>
        </is>
      </c>
      <c r="AE8" s="2" t="inlineStr">
        <is>
          <t>Demonstrated incident/evaluation</t>
        </is>
      </c>
      <c r="AF8" s="2" t="inlineStr">
        <is>
          <t>https://arxiv.org/abs/2609.14796</t>
        </is>
      </c>
      <c r="AG8" s="2" t="inlineStr">
        <is>
          <t>https://arxiv.org/pdf/2609.14796</t>
        </is>
      </c>
      <c r="AH8" s="2" t="inlineStr">
        <is>
          <t>Useful comparator: same event can be read as vulnerability and successful buffering.</t>
        </is>
      </c>
    </row>
    <row r="9">
      <c r="A9" s="2" t="inlineStr">
        <is>
          <t>T08</t>
        </is>
      </c>
      <c r="B9" s="2" t="inlineStr">
        <is>
          <t>Removal of source context degrades manipulation monitoring</t>
        </is>
      </c>
      <c r="C9" s="2" t="inlineStr">
        <is>
          <t>PUC preliminary evaluation</t>
        </is>
      </c>
      <c r="D9" s="2" t="inlineStr">
        <is>
          <t>AI control / monitoring</t>
        </is>
      </c>
      <c r="E9" s="2" t="inlineStr">
        <is>
          <t>measurement / monitoring trajectory</t>
        </is>
      </c>
      <c r="F9" s="2" t="inlineStr">
        <is>
          <t>LLM judge evaluates aligned vs misaligned actor responses</t>
        </is>
      </c>
      <c r="G9" s="2" t="inlineStr">
        <is>
          <t>Judge is progressively deprived of correct answer/source material</t>
        </is>
      </c>
      <c r="H9" s="2" t="inlineStr">
        <is>
          <t>Aligned/misaligned actors, source documents, LLM judge</t>
        </is>
      </c>
      <c r="I9" s="2" t="inlineStr">
        <is>
          <t>Source material &lt;-&gt; monitor interpretation</t>
        </is>
      </c>
      <c r="J9" s="2" t="inlineStr">
        <is>
          <t>Claims, source evidence, hidden ground truth</t>
        </is>
      </c>
      <c r="K9" s="2" t="inlineStr">
        <is>
          <t>Actors respond -&gt; judge evaluates manipulation with answer-aware/source-aware/fully blind context -&gt; performance degrades substantially when source context removed</t>
        </is>
      </c>
      <c r="L9" s="2" t="inlineStr">
        <is>
          <t>Fully blind condition</t>
        </is>
      </c>
      <c r="M9" s="2" t="inlineStr">
        <is>
          <t>Lack of context can invert/misclassify manipulation signal</t>
        </is>
      </c>
      <c r="N9" s="2" t="inlineStr">
        <is>
          <t>Source-aware monitoring</t>
        </is>
      </c>
      <c r="O9" s="2" t="inlineStr">
        <is>
          <t>At monitoring stage</t>
        </is>
      </c>
      <c r="P9" s="2" t="inlineStr">
        <is>
          <t>Condition controlled experimentally</t>
        </is>
      </c>
      <c r="Q9" s="2" t="inlineStr">
        <is>
          <t>Provide source material / answer context</t>
        </is>
      </c>
      <c r="R9" s="2" t="inlineStr">
        <is>
          <t>revised interpretation</t>
        </is>
      </c>
      <c r="S9" s="2" t="inlineStr">
        <is>
          <t>High</t>
        </is>
      </c>
      <c r="T9" s="2" t="inlineStr">
        <is>
          <t>Source-aware judges discriminate better; fully blind judge struggles and may rate aligned actor most manipulative</t>
        </is>
      </c>
      <c r="U9" s="2" t="inlineStr">
        <is>
          <t>yes</t>
        </is>
      </c>
      <c r="V9" s="2" t="inlineStr">
        <is>
          <t>yes</t>
        </is>
      </c>
      <c r="W9" s="2" t="inlineStr">
        <is>
          <t>yes</t>
        </is>
      </c>
      <c r="X9" s="2" t="inlineStr">
        <is>
          <t>yes</t>
        </is>
      </c>
      <c r="Y9" s="2" t="inlineStr">
        <is>
          <t>evaluator</t>
        </is>
      </c>
      <c r="Z9" s="2" t="inlineStr">
        <is>
          <t>Monitoring effectiveness depends on access to source context</t>
        </is>
      </c>
      <c r="AA9" s="2" t="inlineStr">
        <is>
          <t>Context preservation; provenance; monitor observability</t>
        </is>
      </c>
      <c r="AB9" s="2" t="inlineStr">
        <is>
          <t>none</t>
        </is>
      </c>
      <c r="AC9" s="2" t="inlineStr">
        <is>
          <t>none</t>
        </is>
      </c>
      <c r="AD9" s="2" t="inlineStr">
        <is>
          <t>LLM-on-LLM preliminary setup; no human experiment yet</t>
        </is>
      </c>
      <c r="AE9" s="2" t="inlineStr">
        <is>
          <t>Demonstrated in preliminary setup</t>
        </is>
      </c>
      <c r="AF9" s="2" t="inlineStr">
        <is>
          <t>https://arxiv.org/abs/2609.14796</t>
        </is>
      </c>
      <c r="AG9" s="2" t="inlineStr">
        <is>
          <t>https://arxiv.org/pdf/2609.14796</t>
        </is>
      </c>
      <c r="AH9" s="2" t="inlineStr">
        <is>
          <t>Directly relevant to metadata/context thesis.</t>
        </is>
      </c>
    </row>
    <row r="10">
      <c r="A10" s="2" t="inlineStr">
        <is>
          <t>T09</t>
        </is>
      </c>
      <c r="B10" s="2" t="inlineStr">
        <is>
          <t>Claude protein designs carried through automated wet lab</t>
        </is>
      </c>
      <c r="C10" s="2" t="inlineStr">
        <is>
          <t>Adaptyv Bio case study / Anthropic collaboration</t>
        </is>
      </c>
      <c r="D10" s="2" t="inlineStr">
        <is>
          <t>AI-bio / protein design</t>
        </is>
      </c>
      <c r="E10" s="2" t="inlineStr">
        <is>
          <t>digital-to-physical validation trajectory</t>
        </is>
      </c>
      <c r="F10" s="2" t="inlineStr">
        <is>
          <t>Claude used to design binders against 16 targets</t>
        </is>
      </c>
      <c r="G10" s="2" t="inlineStr">
        <is>
          <t>Digital designs are physically synthesized, expressed and assayed</t>
        </is>
      </c>
      <c r="H10" s="2" t="inlineStr">
        <is>
          <t>Claude/Claude Science, protein design workflow, automated lab, DNA/proteins, binding assays</t>
        </is>
      </c>
      <c r="I10" s="2" t="inlineStr">
        <is>
          <t>Digital design &lt;-&gt; synthesis/expression/assay</t>
        </is>
      </c>
      <c r="J10" s="2" t="inlineStr">
        <is>
          <t>Protein sequences, DNA, assay measurements, QC</t>
        </is>
      </c>
      <c r="K10" s="2" t="inlineStr">
        <is>
          <t>Generate 1,320 designs -&gt; synthesize DNA -&gt; express proteins -&gt; run binding/QC -&gt; observe 354 binders, 26.8% average hit rate</t>
        </is>
      </c>
      <c r="L10" s="2" t="inlineStr">
        <is>
          <t>Physical binding assay reveals which digital designs work</t>
        </is>
      </c>
      <c r="M10" s="2" t="inlineStr">
        <is>
          <t>Large number of candidates increases chance of hits</t>
        </is>
      </c>
      <c r="N10" s="2" t="inlineStr">
        <is>
          <t>High-throughput lab measurement and QC</t>
        </is>
      </c>
      <c r="O10" s="2" t="inlineStr">
        <is>
          <t>At assay stage</t>
        </is>
      </c>
      <c r="P10" s="2" t="inlineStr">
        <is>
          <t>Hit rates measured per target/design</t>
        </is>
      </c>
      <c r="Q10" s="2" t="inlineStr">
        <is>
          <t>Select/iterate based on measured binders</t>
        </is>
      </c>
      <c r="R10" s="2" t="inlineStr">
        <is>
          <t>iterative improvement</t>
        </is>
      </c>
      <c r="S10" s="2" t="inlineStr">
        <is>
          <t>Moderate; resources consumed but benign targets</t>
        </is>
      </c>
      <c r="T10" s="2" t="inlineStr">
        <is>
          <t>Substantial physical validation of digital designs; one target produced zero binders</t>
        </is>
      </c>
      <c r="U10" s="2" t="inlineStr">
        <is>
          <t>yes</t>
        </is>
      </c>
      <c r="V10" s="2" t="inlineStr">
        <is>
          <t>partly/unclear</t>
        </is>
      </c>
      <c r="W10" s="2" t="inlineStr">
        <is>
          <t>yes</t>
        </is>
      </c>
      <c r="X10" s="2" t="inlineStr">
        <is>
          <t>unclear</t>
        </is>
      </c>
      <c r="Y10" s="2" t="inlineStr">
        <is>
          <t>workflow potential; not clearly demonstrated</t>
        </is>
      </c>
      <c r="Z10" s="2" t="inlineStr">
        <is>
          <t>354/1,320 bound; average hit rate 26.8%</t>
        </is>
      </c>
      <c r="AA10" s="2" t="inlineStr">
        <is>
          <t>Digital-physical translation; high-throughput validation; target heterogeneity</t>
        </is>
      </c>
      <c r="AB10" s="2" t="inlineStr">
        <is>
          <t>physical step</t>
        </is>
      </c>
      <c r="AC10" s="2" t="inlineStr">
        <is>
          <t>validates upstream digital claim</t>
        </is>
      </c>
      <c r="AD10" s="2" t="inlineStr">
        <is>
          <t>Company case study; comparison details depend on benchmark context</t>
        </is>
      </c>
      <c r="AE10" s="2" t="inlineStr">
        <is>
          <t>Demonstrated case-study results</t>
        </is>
      </c>
      <c r="AF10" s="2" t="inlineStr">
        <is>
          <t>https://www.adaptyvbio.com/blog/anthropic-1</t>
        </is>
      </c>
      <c r="AG10" s="2" t="inlineStr">
        <is>
          <t>https://www.adaptyvbio.com/blog/anthropic-1</t>
        </is>
      </c>
      <c r="AH10" s="2" t="inlineStr">
        <is>
          <t>Canonical web full-text link captured</t>
        </is>
      </c>
    </row>
    <row r="11">
      <c r="A11" s="2" t="inlineStr">
        <is>
          <t>T10</t>
        </is>
      </c>
      <c r="B11" s="2" t="inlineStr">
        <is>
          <t>Refusal-rate proxy changes model ranking relative to tier discrimination</t>
        </is>
      </c>
      <c r="C11" s="2" t="inlineStr">
        <is>
          <t>RefusalBench</t>
        </is>
      </c>
      <c r="D11" s="2" t="inlineStr">
        <is>
          <t>AI-bio / safeguard measurement</t>
        </is>
      </c>
      <c r="E11" s="2" t="inlineStr">
        <is>
          <t>measurement / metric trajectory</t>
        </is>
      </c>
      <c r="F11" s="2" t="inlineStr">
        <is>
          <t>Same frontier models evaluated on matched prompts across risk tiers</t>
        </is>
      </c>
      <c r="G11" s="2" t="inlineStr">
        <is>
          <t>Change metric from overall refusal rate to tier-sensitive discrimination / partial compliance</t>
        </is>
      </c>
      <c r="H11" s="2" t="inlineStr">
        <is>
          <t>Models, matched-triple prompts, graders, refusal metrics</t>
        </is>
      </c>
      <c r="I11" s="2" t="inlineStr">
        <is>
          <t>Metric &lt;-&gt; inferred safeguard quality</t>
        </is>
      </c>
      <c r="J11" s="2" t="inlineStr">
        <is>
          <t>Prompt responses and scoring labels</t>
        </is>
      </c>
      <c r="K11" s="2" t="inlineStr">
        <is>
          <t>Run matched prompts -&gt; compute strict refusal -&gt; compute tier discrimination/Youden J + hedge-but-help -&gt; model ranking changes</t>
        </is>
      </c>
      <c r="L11" s="2" t="inlineStr">
        <is>
          <t>Metric choice</t>
        </is>
      </c>
      <c r="M11" s="2" t="inlineStr">
        <is>
          <t>Binary refusal can overstate safety or penalize useful refusal behavior</t>
        </is>
      </c>
      <c r="N11" s="2" t="inlineStr">
        <is>
          <t>Tier-conditioned comparison and partial-compliance analysis</t>
        </is>
      </c>
      <c r="O11" s="2" t="inlineStr">
        <is>
          <t>At analysis stage</t>
        </is>
      </c>
      <c r="P11" s="2" t="inlineStr">
        <is>
          <t>Discrepancy attributable to metric definition</t>
        </is>
      </c>
      <c r="Q11" s="2" t="inlineStr">
        <is>
          <t>Use better-calibrated metric</t>
        </is>
      </c>
      <c r="R11" s="2" t="inlineStr">
        <is>
          <t>revised interpretation</t>
        </is>
      </c>
      <c r="S11" s="2" t="inlineStr">
        <is>
          <t>High</t>
        </is>
      </c>
      <c r="T11" s="2" t="inlineStr">
        <is>
          <t>Grok example ranks 7th by raw refusal but highest tier discrimination; hedge-but-help common</t>
        </is>
      </c>
      <c r="U11" s="2" t="inlineStr">
        <is>
          <t>yes</t>
        </is>
      </c>
      <c r="V11" s="2" t="inlineStr">
        <is>
          <t>yes</t>
        </is>
      </c>
      <c r="W11" s="2" t="inlineStr">
        <is>
          <t>yes</t>
        </is>
      </c>
      <c r="X11" s="2" t="inlineStr">
        <is>
          <t>yes</t>
        </is>
      </c>
      <c r="Y11" s="2" t="inlineStr">
        <is>
          <t>evaluator</t>
        </is>
      </c>
      <c r="Z11" s="2" t="inlineStr">
        <is>
          <t>Proxy-target decoupling demonstrated</t>
        </is>
      </c>
      <c r="AA11" s="2" t="inlineStr">
        <is>
          <t>Metric validity; matched controls; partial compliance</t>
        </is>
      </c>
      <c r="AB11" s="2" t="inlineStr">
        <is>
          <t>none</t>
        </is>
      </c>
      <c r="AC11" s="2" t="inlineStr">
        <is>
          <t>none</t>
        </is>
      </c>
      <c r="AD11" s="2" t="inlineStr">
        <is>
          <t>Still single-turn and model-only</t>
        </is>
      </c>
      <c r="AE11" s="2" t="inlineStr">
        <is>
          <t>Demonstrated</t>
        </is>
      </c>
      <c r="AF11" s="2" t="inlineStr">
        <is>
          <t>https://arxiv.org/abs/2605.21545</t>
        </is>
      </c>
      <c r="AG11" s="2" t="inlineStr">
        <is>
          <t>https://arxiv.org/pdf/2605.21545</t>
        </is>
      </c>
      <c r="AH11" s="2" t="inlineStr">
        <is>
          <t>Measurement trajectory rather than operational failure trajectory.</t>
        </is>
      </c>
    </row>
    <row r="12">
      <c r="A12" s="2" t="inlineStr">
        <is>
          <t>T11</t>
        </is>
      </c>
      <c r="B12" s="2" t="inlineStr">
        <is>
          <t>BioAgent Bench robustness perturbations degrade otherwise successful pipelines</t>
        </is>
      </c>
      <c r="C12" s="2" t="inlineStr">
        <is>
          <t>BioAgent Bench</t>
        </is>
      </c>
      <c r="D12" s="2" t="inlineStr">
        <is>
          <t>AI-bio / bioinformatics</t>
        </is>
      </c>
      <c r="E12" s="2" t="inlineStr">
        <is>
          <t>controlled perturbation / robustness</t>
        </is>
      </c>
      <c r="F12" s="2" t="inlineStr">
        <is>
          <t>Agent can complete a curated end-to-end bioinformatics pipeline under standard conditions</t>
        </is>
      </c>
      <c r="G12" s="2" t="inlineStr">
        <is>
          <t>Corrupted input, decoy file, or prompt bloat introduced</t>
        </is>
      </c>
      <c r="H12" s="2" t="inlineStr">
        <is>
          <t>LLM agent, harness, biological data, reference files, bioinformatics tools, grader</t>
        </is>
      </c>
      <c r="I12" s="2" t="inlineStr">
        <is>
          <t>Input/context -&gt; agent interpretation -&gt; tool orchestration</t>
        </is>
      </c>
      <c r="J12" s="2" t="inlineStr">
        <is>
          <t>Biological data, task instructions, reference context, tool outputs</t>
        </is>
      </c>
      <c r="K12" s="2" t="inlineStr">
        <is>
          <t>Perturbation changes available/contextual information -&gt; agent continues workflow -&gt; step-level mistakes increase -&gt; final reliability drops</t>
        </is>
      </c>
      <c r="L12" s="2" t="inlineStr">
        <is>
          <t>Agent interpretation or parameter/tool choice under perturbed inputs</t>
        </is>
      </c>
      <c r="M12" s="2" t="inlineStr">
        <is>
          <t>Early wrong assumptions can propagate through downstream pipeline stages</t>
        </is>
      </c>
      <c r="N12" s="2" t="inlineStr">
        <is>
          <t>Ground-truth artifacts, explicit output requirements, verifiable tasks</t>
        </is>
      </c>
      <c r="O12" s="2" t="inlineStr">
        <is>
          <t>Grader compares artifacts/outcomes with truth/reference</t>
        </is>
      </c>
      <c r="P12" s="2" t="inlineStr">
        <is>
          <t>Partly attributable through trajectory and intermediate artifacts</t>
        </is>
      </c>
      <c r="Q12" s="2" t="inlineStr">
        <is>
          <t>No corrective intervention in benchmark; perturbation is diagnostic</t>
        </is>
      </c>
      <c r="R12" s="2" t="inlineStr">
        <is>
          <t>Shows high-level pipeline completion can mask fragile step-level reasoning</t>
        </is>
      </c>
      <c r="S12" s="2" t="inlineStr">
        <is>
          <t>High in benchmark environment</t>
        </is>
      </c>
      <c r="T12" s="2" t="inlineStr">
        <is>
          <t>Not primary endpoint</t>
        </is>
      </c>
      <c r="U12" s="2" t="inlineStr">
        <is>
          <t>Yes</t>
        </is>
      </c>
      <c r="V12" s="2" t="inlineStr">
        <is>
          <t>Yes to evaluator; not necessarily to agent during run</t>
        </is>
      </c>
      <c r="W12" s="2" t="inlineStr">
        <is>
          <t>Not tested as adaptive learning</t>
        </is>
      </c>
      <c r="X12" s="2" t="inlineStr">
        <is>
          <t>No</t>
        </is>
      </c>
      <c r="Y12" s="2" t="inlineStr">
        <is>
          <t>Evaluation-only</t>
        </is>
      </c>
      <c r="Z12" s="2" t="inlineStr">
        <is>
          <t>Performance degrades under controlled perturbations</t>
        </is>
      </c>
      <c r="AA12" s="2" t="inlineStr">
        <is>
          <t>Input integrity, context quality, reference selection, intermediate verification, harness</t>
        </is>
      </c>
      <c r="AB12" s="2" t="inlineStr">
        <is>
          <t>No</t>
        </is>
      </c>
      <c r="AC12" s="2" t="inlineStr">
        <is>
          <t>None</t>
        </is>
      </c>
      <c r="AD12" s="2" t="inlineStr">
        <is>
          <t>Outcome depends on relationship among inputs, harness, tool calls and intermediate checks</t>
        </is>
      </c>
      <c r="AE12" s="2" t="inlineStr">
        <is>
          <t>Controlled benchmark experiment</t>
        </is>
      </c>
      <c r="AF12" s="2" t="inlineStr">
        <is>
          <t>https://arxiv.org/abs/2601.21800</t>
        </is>
      </c>
      <c r="AG12" s="2" t="inlineStr">
        <is>
          <t>https://arxiv.org/pdf/2601.21800</t>
        </is>
      </c>
      <c r="AH12" s="2" t="inlineStr">
        <is>
          <t>Strong exemplar of perturbation revealing hidden fragility.</t>
        </is>
      </c>
    </row>
    <row r="13">
      <c r="A13" s="2" t="inlineStr">
        <is>
          <t>T12</t>
        </is>
      </c>
      <c r="B13" s="2" t="inlineStr">
        <is>
          <t>BioSecBench agent chooses correct surveillance workflow but fails on surrounding analytical choices</t>
        </is>
      </c>
      <c r="C13" s="2" t="inlineStr">
        <is>
          <t>BioSecBench-Surveillance</t>
        </is>
      </c>
      <c r="D13" s="2" t="inlineStr">
        <is>
          <t>AI-bio / pathogen genomic surveillance</t>
        </is>
      </c>
      <c r="E13" s="2" t="inlineStr">
        <is>
          <t>workflow decision failure</t>
        </is>
      </c>
      <c r="F13" s="2" t="inlineStr">
        <is>
          <t>Agent receives raw sequencing data and minimal analyst context</t>
        </is>
      </c>
      <c r="G13" s="2" t="inlineStr">
        <is>
          <t>No exogenous perturbation; challenge is under-specified real workflow requiring autonomous methodological choices</t>
        </is>
      </c>
      <c r="H13" s="2" t="inlineStr">
        <is>
          <t>Agent, harness, sequencing data, databases/references, bioinformatics tools, deterministic grader</t>
        </is>
      </c>
      <c r="I13" s="2" t="inlineStr">
        <is>
          <t>Data/context -&gt; agent methodological choice -&gt; surveillance conclusion</t>
        </is>
      </c>
      <c r="J13" s="2" t="inlineStr">
        <is>
          <t>Raw sequence data, contextual metadata, tool outputs, references, thresholds</t>
        </is>
      </c>
      <c r="K13" s="2" t="inlineStr">
        <is>
          <t>Agent infers workflow -&gt; may choose gold-standard tools -&gt; chooses references/thresholds/normalization -&gt; produces surveillance result -&gt; grader compares with held-out truth</t>
        </is>
      </c>
      <c r="L13" s="2" t="inlineStr">
        <is>
          <t>Reference/threshold/filter/normalization choice even when high-level workflow is correct</t>
        </is>
      </c>
      <c r="M13" s="2" t="inlineStr">
        <is>
          <t>Small analytic-choice errors alter final surveillance conclusion</t>
        </is>
      </c>
      <c r="N13" s="2" t="inlineStr">
        <is>
          <t>Deterministic grading and expert-defined ground truth</t>
        </is>
      </c>
      <c r="O13" s="2" t="inlineStr">
        <is>
          <t>Benchmark grader detects incorrect final structured result</t>
        </is>
      </c>
      <c r="P13" s="2" t="inlineStr">
        <is>
          <t>Authors localize failures to choices surrounding tool invocation</t>
        </is>
      </c>
      <c r="Q13" s="2" t="inlineStr">
        <is>
          <t>None during run</t>
        </is>
      </c>
      <c r="R13" s="2" t="inlineStr">
        <is>
          <t>Demonstrates tool selection alone is insufficient for reliable surveillance</t>
        </is>
      </c>
      <c r="S13" s="2" t="inlineStr">
        <is>
          <t>High in benchmark; potentially time-sensitive in real surveillance</t>
        </is>
      </c>
      <c r="T13" s="2" t="inlineStr">
        <is>
          <t>Not tested</t>
        </is>
      </c>
      <c r="U13" s="2" t="inlineStr">
        <is>
          <t>Post-run yes</t>
        </is>
      </c>
      <c r="V13" s="2" t="inlineStr">
        <is>
          <t>Yes to evaluators</t>
        </is>
      </c>
      <c r="W13" s="2" t="inlineStr">
        <is>
          <t>Not tested</t>
        </is>
      </c>
      <c r="X13" s="2" t="inlineStr">
        <is>
          <t>No</t>
        </is>
      </c>
      <c r="Y13" s="2" t="inlineStr">
        <is>
          <t>Evaluation-only</t>
        </is>
      </c>
      <c r="Z13" s="2" t="inlineStr">
        <is>
          <t>Strongest model-harness pairs clear only about half of evaluations</t>
        </is>
      </c>
      <c r="AA13" s="2" t="inlineStr">
        <is>
          <t>Metadata/context, reference choice, thresholds, normalization, harness, verification</t>
        </is>
      </c>
      <c r="AB13" s="2" t="inlineStr">
        <is>
          <t>No</t>
        </is>
      </c>
      <c r="AC13" s="2" t="inlineStr">
        <is>
          <t>None</t>
        </is>
      </c>
      <c r="AD13" s="2" t="inlineStr">
        <is>
          <t>Reliability emerges from relationships among data, references, tools and analytical decisions</t>
        </is>
      </c>
      <c r="AE13" s="2" t="inlineStr">
        <is>
          <t>Controlled benchmark derived from real workflows</t>
        </is>
      </c>
      <c r="AF13" s="2" t="inlineStr">
        <is>
          <t>https://arxiv.org/abs/2607.19262</t>
        </is>
      </c>
      <c r="AG13" s="2" t="inlineStr">
        <is>
          <t>https://arxiv.org/pdf/2607.19262</t>
        </is>
      </c>
      <c r="AH13" s="2" t="inlineStr">
        <is>
          <t>Directly relevant to relational observability and meaning preservation.</t>
        </is>
      </c>
    </row>
    <row r="14">
      <c r="A14" s="2" t="inlineStr">
        <is>
          <t>T13</t>
        </is>
      </c>
      <c r="B14" s="2" t="inlineStr">
        <is>
          <t>BiomniBench shows harness choice shifts scientific-agent performance more than model generation</t>
        </is>
      </c>
      <c r="C14" s="2" t="inlineStr">
        <is>
          <t>BiomniBench</t>
        </is>
      </c>
      <c r="D14" s="2" t="inlineStr">
        <is>
          <t>AI-bio / biomedical data analysis</t>
        </is>
      </c>
      <c r="E14" s="2" t="inlineStr">
        <is>
          <t>configuration sensitivity</t>
        </is>
      </c>
      <c r="F14" s="2" t="inlineStr">
        <is>
          <t>Same/similar base models evaluated on biomedical research tasks</t>
        </is>
      </c>
      <c r="G14" s="2" t="inlineStr">
        <is>
          <t>Change agent harness/scaffolding</t>
        </is>
      </c>
      <c r="H14" s="2" t="inlineStr">
        <is>
          <t>Base model, agent harness, research task, data, process rubric</t>
        </is>
      </c>
      <c r="I14" s="2" t="inlineStr">
        <is>
          <t>Model -&gt; harness -&gt; task execution</t>
        </is>
      </c>
      <c r="J14" s="2" t="inlineStr">
        <is>
          <t>Instructions, intermediate reasoning/tool actions, data, outputs</t>
        </is>
      </c>
      <c r="K14" s="2" t="inlineStr">
        <is>
          <t>Model paired with different harness -&gt; trajectory organization/tool use changes -&gt; process-level scores shift -&gt; harness effect exceeds adjacent model-generation gap</t>
        </is>
      </c>
      <c r="L14" s="2" t="inlineStr">
        <is>
          <t>Scaffolding/interaction policy before or during task execution</t>
        </is>
      </c>
      <c r="M14" s="2" t="inlineStr">
        <is>
          <t>Harness decisions shape subsequent method selection and analysis trajectory</t>
        </is>
      </c>
      <c r="N14" s="2" t="inlineStr">
        <is>
          <t>Expert process rubrics expose where correct-looking outcomes mask weak reasoning</t>
        </is>
      </c>
      <c r="O14" s="2" t="inlineStr">
        <is>
          <t>Process-level scoring</t>
        </is>
      </c>
      <c r="P14" s="2" t="inlineStr">
        <is>
          <t>Comparison across harnesses supports configuration attribution</t>
        </is>
      </c>
      <c r="Q14" s="2" t="inlineStr">
        <is>
          <t>Harness substitution</t>
        </is>
      </c>
      <c r="R14" s="2" t="inlineStr">
        <is>
          <t>Shows measured capability is not a property of model alone</t>
        </is>
      </c>
      <c r="S14" s="2" t="inlineStr">
        <is>
          <t>High</t>
        </is>
      </c>
      <c r="T14" s="2" t="inlineStr">
        <is>
          <t>Not applicable</t>
        </is>
      </c>
      <c r="U14" s="2" t="inlineStr">
        <is>
          <t>Post-run yes</t>
        </is>
      </c>
      <c r="V14" s="2" t="inlineStr">
        <is>
          <t>Yes</t>
        </is>
      </c>
      <c r="W14" s="2" t="inlineStr">
        <is>
          <t>Not tested</t>
        </is>
      </c>
      <c r="X14" s="2" t="inlineStr">
        <is>
          <t>No</t>
        </is>
      </c>
      <c r="Y14" s="2" t="inlineStr">
        <is>
          <t>Evaluation/system configuration</t>
        </is>
      </c>
      <c r="Z14" s="2" t="inlineStr">
        <is>
          <t>Harness effect larger than successive model-generation effect</t>
        </is>
      </c>
      <c r="AA14" s="2" t="inlineStr">
        <is>
          <t>Agent harness, process rubric, task decomposition, method-selection support</t>
        </is>
      </c>
      <c r="AB14" s="2" t="inlineStr">
        <is>
          <t>No</t>
        </is>
      </c>
      <c r="AC14" s="2" t="inlineStr">
        <is>
          <t>None</t>
        </is>
      </c>
      <c r="AD14" s="2" t="inlineStr">
        <is>
          <t>Expanding unit from model to model+harness changes capability conclusion</t>
        </is>
      </c>
      <c r="AE14" s="2" t="inlineStr">
        <is>
          <t>Controlled benchmark comparison</t>
        </is>
      </c>
      <c r="AF14" s="2" t="inlineStr">
        <is>
          <t>https://www.biorxiv.org/content/10.64898/2026.05.12.724604v2</t>
        </is>
      </c>
      <c r="AG14" s="2" t="inlineStr">
        <is>
          <t>https://www.biorxiv.org/content/10.64898/2026.05.12.724604v2.full.pdf</t>
        </is>
      </c>
      <c r="AH14" s="2" t="inlineStr">
        <is>
          <t>Strong support for configuration dependence hypothesis.</t>
        </is>
      </c>
    </row>
    <row r="15">
      <c r="A15" s="2" t="inlineStr">
        <is>
          <t>T14</t>
        </is>
      </c>
      <c r="B15" s="2" t="inlineStr">
        <is>
          <t>OpenAgentSafety reveals unsafe behavior that appears only in dynamic user-tool interaction</t>
        </is>
      </c>
      <c r="C15" s="2" t="inlineStr">
        <is>
          <t>OpenAgentSafety</t>
        </is>
      </c>
      <c r="D15" s="2" t="inlineStr">
        <is>
          <t>AI safety / agentic systems</t>
        </is>
      </c>
      <c r="E15" s="2" t="inlineStr">
        <is>
          <t>interactive safety failure</t>
        </is>
      </c>
      <c r="F15" s="2" t="inlineStr">
        <is>
          <t>Agent operates in realistic software environment with user/NPC instructions and tool access</t>
        </is>
      </c>
      <c r="G15" s="2" t="inlineStr">
        <is>
          <t>Adversarial, ambiguous or conflicting user/NPC intent introduced during multi-turn task</t>
        </is>
      </c>
      <c r="H15" s="2" t="inlineStr">
        <is>
          <t>LLM agent, browser, code execution, file system, bash, messaging tools, user/NPCs, evaluation rules</t>
        </is>
      </c>
      <c r="I15" s="2" t="inlineStr">
        <is>
          <t>User/social input -&gt; agent decision -&gt; tool action</t>
        </is>
      </c>
      <c r="J15" s="2" t="inlineStr">
        <is>
          <t>Instructions, social cues, files, code, messages, tool outputs</t>
        </is>
      </c>
      <c r="K15" s="2" t="inlineStr">
        <is>
          <t>Agent receives task -&gt; interacts with users/NPCs and tools -&gt; conflicting/adversarial cues arise -&gt; agent chooses actions -&gt; safety criteria evaluate trajectory</t>
        </is>
      </c>
      <c r="L15" s="2" t="inlineStr">
        <is>
          <t>Agent interpretation of user intent or unsafe action selection</t>
        </is>
      </c>
      <c r="M15" s="2" t="inlineStr">
        <is>
          <t>Tool execution converts unsafe decision into consequential system action within simulation</t>
        </is>
      </c>
      <c r="N15" s="2" t="inlineStr">
        <is>
          <t>Task-level safety rules and scoring expose failures; no universal mitigation demonstrated</t>
        </is>
      </c>
      <c r="O15" s="2" t="inlineStr">
        <is>
          <t>Rule-based and LLM-judge evaluation</t>
        </is>
      </c>
      <c r="P15" s="2" t="inlineStr">
        <is>
          <t>Trajectory logs allow action-level localization</t>
        </is>
      </c>
      <c r="Q15" s="2" t="inlineStr">
        <is>
          <t>Evaluation only</t>
        </is>
      </c>
      <c r="R15" s="2" t="inlineStr">
        <is>
          <t>Shows static output tests can miss safety failures emerging through interaction</t>
        </is>
      </c>
      <c r="S15" s="2" t="inlineStr">
        <is>
          <t>High in simulation</t>
        </is>
      </c>
      <c r="T15" s="2" t="inlineStr">
        <is>
          <t>Not central</t>
        </is>
      </c>
      <c r="U15" s="2" t="inlineStr">
        <is>
          <t>Yes in environment</t>
        </is>
      </c>
      <c r="V15" s="2" t="inlineStr">
        <is>
          <t>Varies by task</t>
        </is>
      </c>
      <c r="W15" s="2" t="inlineStr">
        <is>
          <t>Agent can react within episode, but persistent learning not tested</t>
        </is>
      </c>
      <c r="X15" s="2" t="inlineStr">
        <is>
          <t>Episode-level adaptation possible; not studied as durable update</t>
        </is>
      </c>
      <c r="Y15" s="2" t="inlineStr">
        <is>
          <t>Within-episode behavior</t>
        </is>
      </c>
      <c r="Z15" s="2" t="inlineStr">
        <is>
          <t>High unsafe-behavior rates in safety-vulnerable tasks</t>
        </is>
      </c>
      <c r="AA15" s="2" t="inlineStr">
        <is>
          <t>Tool affordances, social context, ambiguity, multi-turn history, permissions</t>
        </is>
      </c>
      <c r="AB15" s="2" t="inlineStr">
        <is>
          <t>No</t>
        </is>
      </c>
      <c r="AC15" s="2" t="inlineStr">
        <is>
          <t>None</t>
        </is>
      </c>
      <c r="AD15" s="2" t="inlineStr">
        <is>
          <t>Unsafe behavior emerges only when model is coupled to tools/users</t>
        </is>
      </c>
      <c r="AE15" s="2" t="inlineStr">
        <is>
          <t>Interactive simulation benchmark</t>
        </is>
      </c>
      <c r="AF15" s="2" t="inlineStr">
        <is>
          <t>https://arxiv.org/abs/2507.06134</t>
        </is>
      </c>
      <c r="AG15" s="2" t="inlineStr">
        <is>
          <t>https://arxiv.org/pdf/2507.06134</t>
        </is>
      </c>
      <c r="AH15" s="2" t="inlineStr">
        <is>
          <t>Useful non-bio methodological analogue for relational safety.</t>
        </is>
      </c>
    </row>
    <row r="16">
      <c r="A16" s="2" t="inlineStr">
        <is>
          <t>T15</t>
        </is>
      </c>
      <c r="B16" s="2" t="inlineStr">
        <is>
          <t>Model-only biology benchmarks saturate while workflow-level capability remains unresolved</t>
        </is>
      </c>
      <c r="C16" s="2" t="inlineStr">
        <is>
          <t>LLMs Outperform Experts on Challenging Biology Benchmarks</t>
        </is>
      </c>
      <c r="D16" s="2" t="inlineStr">
        <is>
          <t>AI-bio / capability evaluation</t>
        </is>
      </c>
      <c r="E16" s="2" t="inlineStr">
        <is>
          <t>proxy saturation / boundary mismatch</t>
        </is>
      </c>
      <c r="F16" s="2" t="inlineStr">
        <is>
          <t>Multiple frontier models tested repeatedly on established biology benchmarks</t>
        </is>
      </c>
      <c r="G16" s="2" t="inlineStr">
        <is>
          <t>Model capability improves over successive generations while benchmark remains fixed</t>
        </is>
      </c>
      <c r="H16" s="2" t="inlineStr">
        <is>
          <t>Models, benchmark items, expert baselines, scoring</t>
        </is>
      </c>
      <c r="I16" s="2" t="inlineStr">
        <is>
          <t>Model capability -&gt; benchmark proxy -&gt; inferred biological capability</t>
        </is>
      </c>
      <c r="J16" s="2" t="inlineStr">
        <is>
          <t>Questions, answers, benchmark labels</t>
        </is>
      </c>
      <c r="K16" s="2" t="inlineStr">
        <is>
          <t>Model generations improve -&gt; scores rise/saturate on some benchmarks -&gt; expert baselines exceeded -&gt; benchmark errors/ceilings become more salient -&gt; need for more sophisticated evaluation</t>
        </is>
      </c>
      <c r="L16" s="2" t="inlineStr">
        <is>
          <t>Proxy ceases to discriminate underlying capability as saturation/data-quality limits emerge</t>
        </is>
      </c>
      <c r="M16" s="2" t="inlineStr">
        <is>
          <t>Security interpretations may overread static benchmark score as end-to-end capability</t>
        </is>
      </c>
      <c r="N16" s="2" t="inlineStr">
        <is>
          <t>Cross-benchmark comparison and explicit discussion of saturation/errors</t>
        </is>
      </c>
      <c r="O16" s="2" t="inlineStr">
        <is>
          <t>Observed score plateaus and benchmark inconsistencies</t>
        </is>
      </c>
      <c r="P16" s="2" t="inlineStr">
        <is>
          <t>Attributed to benchmark saturation/data quality and capability growth</t>
        </is>
      </c>
      <c r="Q16" s="2" t="inlineStr">
        <is>
          <t>Call for improved evaluation methods</t>
        </is>
      </c>
      <c r="R16" s="2" t="inlineStr">
        <is>
          <t>Reveals proxy may stop tracking target construct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Yes to evaluators</t>
        </is>
      </c>
      <c r="V16" s="2" t="inlineStr">
        <is>
          <t>Yes</t>
        </is>
      </c>
      <c r="W16" s="2" t="inlineStr">
        <is>
          <t>Field-level methodological update proposed</t>
        </is>
      </c>
      <c r="X16" s="2" t="inlineStr">
        <is>
          <t>Paper argues for improved evaluation approaches</t>
        </is>
      </c>
      <c r="Y16" s="2" t="inlineStr">
        <is>
          <t>Research-field methodology</t>
        </is>
      </c>
      <c r="Z16" s="2" t="inlineStr">
        <is>
          <t>Static benchmark evidence becomes less informative as models improve</t>
        </is>
      </c>
      <c r="AA16" s="2" t="inlineStr">
        <is>
          <t>Benchmark design, expert baseline, task realism, system boundary</t>
        </is>
      </c>
      <c r="AB16" s="2" t="inlineStr">
        <is>
          <t>No</t>
        </is>
      </c>
      <c r="AC16" s="2" t="inlineStr">
        <is>
          <t>None</t>
        </is>
      </c>
      <c r="AD16" s="2" t="inlineStr">
        <is>
          <t>Model-only knowledge/reasoning scores do not establish workflow or physical capability</t>
        </is>
      </c>
      <c r="AE16" s="2" t="inlineStr">
        <is>
          <t>Cross-benchmark empirical analysis</t>
        </is>
      </c>
      <c r="AF16" s="2" t="inlineStr">
        <is>
          <t>https://arxiv.org/abs/2505.06108</t>
        </is>
      </c>
      <c r="AG16" s="2" t="inlineStr">
        <is>
          <t>https://arxiv.org/pdf/2505.06108</t>
        </is>
      </c>
      <c r="AH16" s="2" t="inlineStr">
        <is>
          <t>Directly relevant to proxy-to-target decoupling.</t>
        </is>
      </c>
    </row>
    <row r="17">
      <c r="A17" s="2" t="inlineStr">
        <is>
          <t>T16</t>
        </is>
      </c>
      <c r="B17" s="2" t="inlineStr">
        <is>
          <t>BixBench agents fail across long multi-step bioinformatics trajectories despite frontier-model knowledge</t>
        </is>
      </c>
      <c r="C17" s="2" t="inlineStr">
        <is>
          <t>BixBench</t>
        </is>
      </c>
      <c r="D17" s="2" t="inlineStr">
        <is>
          <t>AI-bio / computational biology</t>
        </is>
      </c>
      <c r="E17" s="2" t="inlineStr">
        <is>
          <t>workflow failure / capability gap</t>
        </is>
      </c>
      <c r="F17" s="2" t="inlineStr">
        <is>
          <t>Frontier LLM placed in executable Jupyter environment with real scenario data</t>
        </is>
      </c>
      <c r="G17" s="2" t="inlineStr">
        <is>
          <t>Open-ended multi-step analytical task requires exploration, code execution, and interpretation</t>
        </is>
      </c>
      <c r="H17" s="2" t="inlineStr">
        <is>
          <t>LLM, agent harness, Jupyter, Python/R/bash, data files, benchmark question</t>
        </is>
      </c>
      <c r="I17" s="2" t="inlineStr">
        <is>
          <t>Model -&gt; tool execution -&gt; data -&gt; interpretation</t>
        </is>
      </c>
      <c r="J17" s="2" t="inlineStr">
        <is>
          <t>Task context, code, tool outputs, intermediate analytical results</t>
        </is>
      </c>
      <c r="K17" s="2" t="inlineStr">
        <is>
          <t>Question/data -&gt; agent explores -&gt; writes/executes analysis -&gt; interprets result -&gt; final answer -&gt; expert scoring</t>
        </is>
      </c>
      <c r="L17" s="2" t="inlineStr">
        <is>
          <t>Often in analytical choice, code execution, or interpretation before final answer</t>
        </is>
      </c>
      <c r="M17" s="2" t="inlineStr">
        <is>
          <t>Early method/data misunderstanding propagates through downstream analysis</t>
        </is>
      </c>
      <c r="N17" s="2" t="inlineStr">
        <is>
          <t>Executable feedback from code/tools; opportunity to inspect intermediate outputs</t>
        </is>
      </c>
      <c r="O17" s="2" t="inlineStr">
        <is>
          <t>Benchmark scoring at final answer; some setup validation</t>
        </is>
      </c>
      <c r="P17" s="2" t="inlineStr">
        <is>
          <t>Partial through agent traces and task structure</t>
        </is>
      </c>
      <c r="Q17" s="2" t="inlineStr">
        <is>
          <t>No human rescue in main autonomous evaluation</t>
        </is>
      </c>
      <c r="R17" s="2" t="inlineStr">
        <is>
          <t>Tool feedback alone does not reliably restore correct trajectory</t>
        </is>
      </c>
      <c r="S17" s="2" t="inlineStr">
        <is>
          <t>High computationally</t>
        </is>
      </c>
      <c r="T17" s="2" t="inlineStr">
        <is>
          <t>Possible in principle but limited in observed autonomous performance</t>
        </is>
      </c>
      <c r="U17" s="2" t="inlineStr">
        <is>
          <t>Yes</t>
        </is>
      </c>
      <c r="V17" s="2" t="inlineStr">
        <is>
          <t>Partially; tool errors/results visible but biological meaning remains hard</t>
        </is>
      </c>
      <c r="W17" s="2" t="inlineStr">
        <is>
          <t>Yes in-agent iterative execution</t>
        </is>
      </c>
      <c r="X17" s="2" t="inlineStr">
        <is>
          <t>Insufficient to achieve high overall accuracy</t>
        </is>
      </c>
      <c r="Y17" s="2" t="inlineStr">
        <is>
          <t>Within-trajectory adaptation, not persistent system learning</t>
        </is>
      </c>
      <c r="Z17" s="2" t="inlineStr">
        <is>
          <t>~21% best open-answer accuracy; major gap between model knowledge and autonomous analysis</t>
        </is>
      </c>
      <c r="AA17" s="2" t="inlineStr">
        <is>
          <t>Method-selection quality; context integration; tool feedback interpretation; error propagation depth</t>
        </is>
      </c>
      <c r="AB17" s="2" t="inlineStr">
        <is>
          <t>No</t>
        </is>
      </c>
      <c r="AC17" s="2" t="inlineStr">
        <is>
          <t>None</t>
        </is>
      </c>
      <c r="AD17" s="2" t="inlineStr">
        <is>
          <t>Human expert or laboratory validation could change success and risk conclusion.</t>
        </is>
      </c>
      <c r="AE17" s="2" t="inlineStr">
        <is>
          <t>Direct executable benchmark</t>
        </is>
      </c>
      <c r="AF17" s="2" t="inlineStr">
        <is>
          <t>https://arxiv.org/abs/2503.00096</t>
        </is>
      </c>
      <c r="AG17" s="2" t="inlineStr">
        <is>
          <t>https://arxiv.org/pdf/2503.00096</t>
        </is>
      </c>
      <c r="AH17" s="2" t="inlineStr">
        <is>
          <t>Supports distinction between knowledge and workflow capability.</t>
        </is>
      </c>
    </row>
    <row r="18">
      <c r="A18" s="2" t="inlineStr">
        <is>
          <t>T17</t>
        </is>
      </c>
      <c r="B18" s="2" t="inlineStr">
        <is>
          <t>ClaroAI-Bench exposes reproducibility as a dependency chain across data, code, environment, and result</t>
        </is>
      </c>
      <c r="C18" s="2" t="inlineStr">
        <is>
          <t>ClaroAI-Bench</t>
        </is>
      </c>
      <c r="D18" s="2" t="inlineStr">
        <is>
          <t>AI-bio / scientific reproducibility</t>
        </is>
      </c>
      <c r="E18" s="2" t="inlineStr">
        <is>
          <t>dependency-chain / context loss</t>
        </is>
      </c>
      <c r="F18" s="2" t="inlineStr">
        <is>
          <t>Agent attempts to reproduce findings from real NIH-funded biomedical papers</t>
        </is>
      </c>
      <c r="G18" s="2" t="inlineStr">
        <is>
          <t>Missing/inaccessible data, code, or reconstructable software environment</t>
        </is>
      </c>
      <c r="H18" s="2" t="inlineStr">
        <is>
          <t>Paper, data repository, code, software environment, AI agent, result</t>
        </is>
      </c>
      <c r="I18" s="2" t="inlineStr">
        <is>
          <t>Publication -&gt; artifacts -&gt; execution environment -&gt; reproduced result</t>
        </is>
      </c>
      <c r="J18" s="2" t="inlineStr">
        <is>
          <t>Methods, identifiers, files, code, dependencies, provenance</t>
        </is>
      </c>
      <c r="K18" s="2" t="inlineStr">
        <is>
          <t>Find paper -&gt; locate data -&gt; access data -&gt; locate code -&gt; reconstruct environment -&gt; rerun -&gt; compare result</t>
        </is>
      </c>
      <c r="L18" s="2" t="inlineStr">
        <is>
          <t>Any missing artifact or ambiguous dependency can halt or distort downstream reproduction</t>
        </is>
      </c>
      <c r="M18" s="2" t="inlineStr">
        <is>
          <t>Early provenance/access gaps make later execution impossible or non-equivalent</t>
        </is>
      </c>
      <c r="N18" s="2" t="inlineStr">
        <is>
          <t>Explicit repositories, versioned code, environment specifications</t>
        </is>
      </c>
      <c r="O18" s="2" t="inlineStr">
        <is>
          <t>Benchmark scores failure at each dependency stage</t>
        </is>
      </c>
      <c r="P18" s="2" t="inlineStr">
        <is>
          <t>High because rubric localizes stage of failure</t>
        </is>
      </c>
      <c r="Q18" s="2" t="inlineStr">
        <is>
          <t>Could provide missing artifact/context, but benchmark observes natural availability</t>
        </is>
      </c>
      <c r="R18" s="2" t="inlineStr">
        <is>
          <t>More complete provenance reduces ambiguity and failure</t>
        </is>
      </c>
      <c r="S18" s="2" t="inlineStr">
        <is>
          <t>High if missing artifacts can be restored</t>
        </is>
      </c>
      <c r="T18" s="2" t="inlineStr">
        <is>
          <t>Dependent on access/context restoration</t>
        </is>
      </c>
      <c r="U18" s="2" t="inlineStr">
        <is>
          <t>Yes at each stage</t>
        </is>
      </c>
      <c r="V18" s="2" t="inlineStr">
        <is>
          <t>High because stages are explicit</t>
        </is>
      </c>
      <c r="W18" s="2" t="inlineStr">
        <is>
          <t>Agent can retry/search; cannot reconstruct unavailable ground truth reliably</t>
        </is>
      </c>
      <c r="X18" s="2" t="inlineStr">
        <is>
          <t>Variable by artifact availability</t>
        </is>
      </c>
      <c r="Y18" s="2" t="inlineStr">
        <is>
          <t>Workflow-level correction</t>
        </is>
      </c>
      <c r="Z18" s="2" t="inlineStr">
        <is>
          <t>Reproducibility becomes an emergent property of linked research artifacts rather than paper text alone</t>
        </is>
      </c>
      <c r="AA18" s="2" t="inlineStr">
        <is>
          <t>Provenance continuity; artifact accessibility; environment reconstructability; dependency transparency</t>
        </is>
      </c>
      <c r="AB18" s="2" t="inlineStr">
        <is>
          <t>Indirect</t>
        </is>
      </c>
      <c r="AC18" s="2" t="inlineStr">
        <is>
          <t>No new wet lab</t>
        </is>
      </c>
      <c r="AD18" s="2" t="inlineStr">
        <is>
          <t>Shows that capability changes when system boundary includes research infrastructure.</t>
        </is>
      </c>
      <c r="AE18" s="2" t="inlineStr">
        <is>
          <t>Real-paper structured benchmark</t>
        </is>
      </c>
      <c r="AF18" s="2" t="inlineStr">
        <is>
          <t>https://www.biorxiv.org/content/10.64898/2026.05.08.723611v1</t>
        </is>
      </c>
      <c r="AG18" s="2" t="inlineStr">
        <is>
          <t>https://www.biorxiv.org/content/10.64898/2026.05.08.723611v1.full</t>
        </is>
      </c>
      <c r="AH18" s="2" t="inlineStr">
        <is>
          <t>Highly relevant to metadata/context thesis.</t>
        </is>
      </c>
    </row>
    <row r="19">
      <c r="A19" s="2" t="inlineStr">
        <is>
          <t>T18</t>
        </is>
      </c>
      <c r="B19" s="2" t="inlineStr">
        <is>
          <t>BioXArena shows agent scaffold and domain alter biomedical ML trajectory; no single configuration dominates</t>
        </is>
      </c>
      <c r="C19" s="2" t="inlineStr">
        <is>
          <t>BioXArena</t>
        </is>
      </c>
      <c r="D19" s="2" t="inlineStr">
        <is>
          <t>AI-bio / biomedical ML</t>
        </is>
      </c>
      <c r="E19" s="2" t="inlineStr">
        <is>
          <t>configuration sensitivity</t>
        </is>
      </c>
      <c r="F19" s="2" t="inlineStr">
        <is>
          <t>Same broad class of biomedical ML tasks under standardized compute limits</t>
        </is>
      </c>
      <c r="G19" s="2" t="inlineStr">
        <is>
          <t>Change model/agent scaffold/inference budget or biomedical domain</t>
        </is>
      </c>
      <c r="H19" s="2" t="inlineStr">
        <is>
          <t>Base model, agent scaffold, GPU budget, multimodal dataset, grader</t>
        </is>
      </c>
      <c r="I19" s="2" t="inlineStr">
        <is>
          <t>Model -&gt; scaffold -&gt; code/training process -&gt; predictions</t>
        </is>
      </c>
      <c r="J19" s="2" t="inlineStr">
        <is>
          <t>Task instructions, data, code, intermediate training results, feedback</t>
        </is>
      </c>
      <c r="K19" s="2" t="inlineStr">
        <is>
          <t>Task -&gt; agent builds pipeline -&gt; trains model -&gt; submits predictions -&gt; hidden grader scores</t>
        </is>
      </c>
      <c r="L19" s="2" t="inlineStr">
        <is>
          <t>Scaffold planning/coding choices before or during training</t>
        </is>
      </c>
      <c r="M19" s="2" t="inlineStr">
        <is>
          <t>Early pipeline choices shape final predictive performance</t>
        </is>
      </c>
      <c r="N19" s="2" t="inlineStr">
        <is>
          <t>Execution feedback, standardized environment, retries within time budget</t>
        </is>
      </c>
      <c r="O19" s="2" t="inlineStr">
        <is>
          <t>Private-test score and failure-mode analysis</t>
        </is>
      </c>
      <c r="P19" s="2" t="inlineStr">
        <is>
          <t>Ablations separate backbone/scaffold/budget effects</t>
        </is>
      </c>
      <c r="Q19" s="2" t="inlineStr">
        <is>
          <t>Change scaffold/model/budget</t>
        </is>
      </c>
      <c r="R19" s="2" t="inlineStr">
        <is>
          <t>Configuration changes materially alter outcome</t>
        </is>
      </c>
      <c r="S19" s="2" t="inlineStr">
        <is>
          <t>High computationally</t>
        </is>
      </c>
      <c r="T19" s="2" t="inlineStr">
        <is>
          <t>Possible with reconfiguration/re-run</t>
        </is>
      </c>
      <c r="U19" s="2" t="inlineStr">
        <is>
          <t>Yes</t>
        </is>
      </c>
      <c r="V19" s="2" t="inlineStr">
        <is>
          <t>Moderate; numerical training results visible but biological meaning may remain domain-specific</t>
        </is>
      </c>
      <c r="W19" s="2" t="inlineStr">
        <is>
          <t>Yes within agent loop</t>
        </is>
      </c>
      <c r="X19" s="2" t="inlineStr">
        <is>
          <t>Varies by configuration</t>
        </is>
      </c>
      <c r="Y19" s="2" t="inlineStr">
        <is>
          <t>Within-task adaptation and system-level comparison</t>
        </is>
      </c>
      <c r="Z19" s="2" t="inlineStr">
        <is>
          <t>No single agent dominates; top mean scores differ and performance depends on configuration/domain</t>
        </is>
      </c>
      <c r="AA19" s="2" t="inlineStr">
        <is>
          <t>Scaffold quality; compute budget; domain fit; feedback use; multimodal context handling</t>
        </is>
      </c>
      <c r="AB19" s="2" t="inlineStr">
        <is>
          <t>No</t>
        </is>
      </c>
      <c r="AC19" s="2" t="inlineStr">
        <is>
          <t>None</t>
        </is>
      </c>
      <c r="AD19" s="2" t="inlineStr">
        <is>
          <t>Results concern ML pipeline, not downstream biological or human decisions.</t>
        </is>
      </c>
      <c r="AE19" s="2" t="inlineStr">
        <is>
          <t>Executable benchmark + ablations</t>
        </is>
      </c>
      <c r="AF19" s="2" t="inlineStr">
        <is>
          <t>https://arxiv.org/abs/2605.15766</t>
        </is>
      </c>
      <c r="AG19" s="2" t="inlineStr">
        <is>
          <t>https://arxiv.org/pdf/2605.15766</t>
        </is>
      </c>
      <c r="AH19" s="2" t="inlineStr">
        <is>
          <t>Strong evidence against model-alone explanations.</t>
        </is>
      </c>
    </row>
    <row r="20">
      <c r="A20" s="2" t="inlineStr">
        <is>
          <t>T19</t>
        </is>
      </c>
      <c r="B20" s="2" t="inlineStr">
        <is>
          <t>M3A copilot experiments show domain experts remain critical for methodological guidance and biological synthesis</t>
        </is>
      </c>
      <c r="C20" s="2" t="inlineStr">
        <is>
          <t>M3A agentic biological discovery study</t>
        </is>
      </c>
      <c r="D20" s="2" t="inlineStr">
        <is>
          <t>AI-bio / multi-omics discovery</t>
        </is>
      </c>
      <c r="E20" s="2" t="inlineStr">
        <is>
          <t>human-AI complementarity</t>
        </is>
      </c>
      <c r="F20" s="2" t="inlineStr">
        <is>
          <t>AI agent explores complex multi-omic cancer datasets autonomously or with human copilot</t>
        </is>
      </c>
      <c r="G20" s="2" t="inlineStr">
        <is>
          <t>Add human involvement/domain expertise to otherwise agentic workflow</t>
        </is>
      </c>
      <c r="H20" s="2" t="inlineStr">
        <is>
          <t>AI agent, expert/nonexpert human, tool suite, literature, multi-omic datasets</t>
        </is>
      </c>
      <c r="I20" s="2" t="inlineStr">
        <is>
          <t>Human &lt;-&gt; AI &lt;-&gt; data/tools</t>
        </is>
      </c>
      <c r="J20" s="2" t="inlineStr">
        <is>
          <t>Hypotheses, methodological choices, data summaries, critiques, interpretations</t>
        </is>
      </c>
      <c r="K20" s="2" t="inlineStr">
        <is>
          <t>Agent explores -&gt; proposes analysis/hypothesis -&gt; human may guide/refine -&gt; analysis -&gt; independent-cohort test -&gt; synthesis</t>
        </is>
      </c>
      <c r="L20" s="2" t="inlineStr">
        <is>
          <t>Method choice and biological interpretation, especially less well-charted/rare phenomena</t>
        </is>
      </c>
      <c r="M20" s="2" t="inlineStr">
        <is>
          <t>Poor method selection can contaminate later biological interpretation</t>
        </is>
      </c>
      <c r="N20" s="2" t="inlineStr">
        <is>
          <t>Expert intervention and cross-cohort validation</t>
        </is>
      </c>
      <c r="O20" s="2" t="inlineStr">
        <is>
          <t>Expert comparison and independent-cohort results</t>
        </is>
      </c>
      <c r="P20" s="2" t="inlineStr">
        <is>
          <t>Study compares autonomous and copilot conditions</t>
        </is>
      </c>
      <c r="Q20" s="2" t="inlineStr">
        <is>
          <t>Human domain guidance</t>
        </is>
      </c>
      <c r="R20" s="2" t="inlineStr">
        <is>
          <t>Improves methodological guidance and synthesis according to study findings</t>
        </is>
      </c>
      <c r="S20" s="2" t="inlineStr">
        <is>
          <t>High computationally</t>
        </is>
      </c>
      <c r="T20" s="2" t="inlineStr">
        <is>
          <t>Human guidance can redirect analysis before physical consequences</t>
        </is>
      </c>
      <c r="U20" s="2" t="inlineStr">
        <is>
          <t>Yes</t>
        </is>
      </c>
      <c r="V20" s="2" t="inlineStr">
        <is>
          <t>Higher with expert knowledge</t>
        </is>
      </c>
      <c r="W20" s="2" t="inlineStr">
        <is>
          <t>Yes; agent workflow accepts recursive context and human input</t>
        </is>
      </c>
      <c r="X20" s="2" t="inlineStr">
        <is>
          <t>Yes within copilot trajectories</t>
        </is>
      </c>
      <c r="Y20" s="2" t="inlineStr">
        <is>
          <t>Coupled human-AI workflow update</t>
        </is>
      </c>
      <c r="Z20" s="2" t="inlineStr">
        <is>
          <t>AI good at broad exploration; experts remain important for rigorous methods and biological synthesis</t>
        </is>
      </c>
      <c r="AA20" s="2" t="inlineStr">
        <is>
          <t>Expertise; authority over method choices; context quality; cross-validation; complementarity</t>
        </is>
      </c>
      <c r="AB20" s="2" t="inlineStr">
        <is>
          <t>No new wet lab</t>
        </is>
      </c>
      <c r="AC20" s="2" t="inlineStr">
        <is>
          <t>Independent datasets validate hypotheses</t>
        </is>
      </c>
      <c r="AD20" s="2" t="inlineStr">
        <is>
          <t>Human inclusion materially changes conclusion about autonomous capability.</t>
        </is>
      </c>
      <c r="AE20" s="2" t="inlineStr">
        <is>
          <t>Real-data comparative evaluation</t>
        </is>
      </c>
      <c r="AF20" s="2" t="inlineStr">
        <is>
          <t>https://www.biorxiv.org/content/10.64898/2026.06.04.729919v1</t>
        </is>
      </c>
      <c r="AG20" s="2" t="inlineStr">
        <is>
          <t>https://www.biorxiv.org/content/10.64898/2026.06.04.729919v1.full</t>
        </is>
      </c>
      <c r="AH20" s="2" t="inlineStr">
        <is>
          <t>Relational configuration is itself the experimental variable.</t>
        </is>
      </c>
    </row>
    <row r="21">
      <c r="A21" s="2" t="inlineStr">
        <is>
          <t>T20</t>
        </is>
      </c>
      <c r="B21" s="2" t="inlineStr">
        <is>
          <t>PromptBio-Bench performance degrades as bioinformatics task difficulty rises</t>
        </is>
      </c>
      <c r="C21" s="2" t="inlineStr">
        <is>
          <t>PromptBio-Bench</t>
        </is>
      </c>
      <c r="D21" s="2" t="inlineStr">
        <is>
          <t>AI-bio / bioinformatics</t>
        </is>
      </c>
      <c r="E21" s="2" t="inlineStr">
        <is>
          <t>difficulty/complexity sensitivity</t>
        </is>
      </c>
      <c r="F21" s="2" t="inlineStr">
        <is>
          <t>Three agents receive expert-curated end-to-end tasks</t>
        </is>
      </c>
      <c r="G21" s="2" t="inlineStr">
        <is>
          <t>Increase task difficulty/complexity</t>
        </is>
      </c>
      <c r="H21" s="2" t="inlineStr">
        <is>
          <t>Agent, task context, data/files, execution environment, expert reference</t>
        </is>
      </c>
      <c r="I21" s="2" t="inlineStr">
        <is>
          <t>Task complexity -&gt; agent planning/execution -&gt; output</t>
        </is>
      </c>
      <c r="J21" s="2" t="inlineStr">
        <is>
          <t>Instructions, intermediate analysis artifacts, final files</t>
        </is>
      </c>
      <c r="K21" s="2" t="inlineStr">
        <is>
          <t>Task -&gt; plan/execute -&gt; generate files -&gt; structured comparison -&gt; score</t>
        </is>
      </c>
      <c r="L21" s="2" t="inlineStr">
        <is>
          <t>Harder tasks increase likelihood of method/execution mistakes</t>
        </is>
      </c>
      <c r="M21" s="2" t="inlineStr">
        <is>
          <t>Uncorrected intermediate errors accumulate across longer workflow</t>
        </is>
      </c>
      <c r="N21" s="2" t="inlineStr">
        <is>
          <t>Agent-specific tooling/scaffolding and execution feedback</t>
        </is>
      </c>
      <c r="O21" s="2" t="inlineStr">
        <is>
          <t>Structured file comparison against expert references</t>
        </is>
      </c>
      <c r="P21" s="2" t="inlineStr">
        <is>
          <t>Difficulty stratification shows systematic relationship</t>
        </is>
      </c>
      <c r="Q21" s="2" t="inlineStr">
        <is>
          <t>Choose different agent/scaffold or provide assistance</t>
        </is>
      </c>
      <c r="R21" s="2" t="inlineStr">
        <is>
          <t>Not directly tested as safety control</t>
        </is>
      </c>
      <c r="S21" s="2" t="inlineStr">
        <is>
          <t>High computationally</t>
        </is>
      </c>
      <c r="T21" s="2" t="inlineStr">
        <is>
          <t>Possible via rerun/human correction</t>
        </is>
      </c>
      <c r="U21" s="2" t="inlineStr">
        <is>
          <t>Yes</t>
        </is>
      </c>
      <c r="V21" s="2" t="inlineStr">
        <is>
          <t>Moderate</t>
        </is>
      </c>
      <c r="W21" s="2" t="inlineStr">
        <is>
          <t>Agent-dependent</t>
        </is>
      </c>
      <c r="X21" s="2" t="inlineStr">
        <is>
          <t>Not enough to prevent difficulty-linked decline</t>
        </is>
      </c>
      <c r="Y21" s="2" t="inlineStr">
        <is>
          <t>Within-task only</t>
        </is>
      </c>
      <c r="Z21" s="2" t="inlineStr">
        <is>
          <t>Accuracy declines markedly with difficulty across agents</t>
        </is>
      </c>
      <c r="AA21" s="2" t="inlineStr">
        <is>
          <t>Workflow length; task ambiguity; tool competence; error compounding</t>
        </is>
      </c>
      <c r="AB21" s="2" t="inlineStr">
        <is>
          <t>No</t>
        </is>
      </c>
      <c r="AC21" s="2" t="inlineStr">
        <is>
          <t>None</t>
        </is>
      </c>
      <c r="AD21" s="2" t="inlineStr">
        <is>
          <t>Human copilot might flatten the difficulty gradient.</t>
        </is>
      </c>
      <c r="AE21" s="2" t="inlineStr">
        <is>
          <t>Executable expert-curated benchmark</t>
        </is>
      </c>
      <c r="AF21" s="2" t="inlineStr">
        <is>
          <t>https://www.biorxiv.org/content/10.64898/2026.05.05.723092v1</t>
        </is>
      </c>
      <c r="AG21" s="2" t="inlineStr">
        <is>
          <t>https://www.biorxiv.org/content/10.64898/2026.05.05.723092v1.full</t>
        </is>
      </c>
      <c r="AH21" s="2" t="inlineStr">
        <is>
          <t>Tests whether errors compound with workflow complexity.</t>
        </is>
      </c>
    </row>
    <row r="22">
      <c r="A22" s="2" t="inlineStr">
        <is>
          <t>T21</t>
        </is>
      </c>
      <c r="B22" s="2" t="inlineStr">
        <is>
          <t>Single-cell benchmark shows multi-agent collaboration and self-reflection improve execution</t>
        </is>
      </c>
      <c r="C22" s="2" t="inlineStr">
        <is>
          <t>Benchmarking LLM-based Agents for Single-cell Omics Analysis</t>
        </is>
      </c>
      <c r="D22" s="2" t="inlineStr">
        <is>
          <t>AI-bio / single-cell omics</t>
        </is>
      </c>
      <c r="E22" s="2" t="inlineStr">
        <is>
          <t>architectural buffering / self-correction</t>
        </is>
      </c>
      <c r="F22" s="2" t="inlineStr">
        <is>
          <t>Agents execute diverse single-cell omics tasks</t>
        </is>
      </c>
      <c r="G22" s="2" t="inlineStr">
        <is>
          <t>Change single-agent to multi-agent architecture; ablate self-reflection/RAG/planning</t>
        </is>
      </c>
      <c r="H22" s="2" t="inlineStr">
        <is>
          <t>LLM agents, specialist roles, retrieval, planning, execution environment, task data</t>
        </is>
      </c>
      <c r="I22" s="2" t="inlineStr">
        <is>
          <t>Agent-agent coordination and agent-self feedback</t>
        </is>
      </c>
      <c r="J22" s="2" t="inlineStr">
        <is>
          <t>Plans, code, critiques, retrieved knowledge, execution results</t>
        </is>
      </c>
      <c r="K22" s="2" t="inlineStr">
        <is>
          <t>Task -&gt; plan -&gt; role-specialized collaboration -&gt; code execution -&gt; reflection -&gt; revision -&gt; result</t>
        </is>
      </c>
      <c r="L22" s="2" t="inlineStr">
        <is>
          <t>Code generation/planning stage</t>
        </is>
      </c>
      <c r="M22" s="2" t="inlineStr">
        <is>
          <t>Bad code or context retrieval cascades into failed analysis</t>
        </is>
      </c>
      <c r="N22" s="2" t="inlineStr">
        <is>
          <t>Self-reflection, RAG, planning, multi-agent role division</t>
        </is>
      </c>
      <c r="O22" s="2" t="inlineStr">
        <is>
          <t>Multidimensional benchmark metrics</t>
        </is>
      </c>
      <c r="P22" s="2" t="inlineStr">
        <is>
          <t>Ablations identify strongest contribution from self-reflection</t>
        </is>
      </c>
      <c r="Q22" s="2" t="inlineStr">
        <is>
          <t>Enable/disable architectural components</t>
        </is>
      </c>
      <c r="R22" s="2" t="inlineStr">
        <is>
          <t>Self-reflection and collaboration improve observed task performance</t>
        </is>
      </c>
      <c r="S22" s="2" t="inlineStr">
        <is>
          <t>High</t>
        </is>
      </c>
      <c r="T22" s="2" t="inlineStr">
        <is>
          <t>Explicit self-reflection supports correction</t>
        </is>
      </c>
      <c r="U22" s="2" t="inlineStr">
        <is>
          <t>Yes</t>
        </is>
      </c>
      <c r="V22" s="2" t="inlineStr">
        <is>
          <t>Yes to agent through execution results and reflective step</t>
        </is>
      </c>
      <c r="W22" s="2" t="inlineStr">
        <is>
          <t>Yes</t>
        </is>
      </c>
      <c r="X22" s="2" t="inlineStr">
        <is>
          <t>Yes within trajectory</t>
        </is>
      </c>
      <c r="Y22" s="2" t="inlineStr">
        <is>
          <t>Within-task reflective adaptation</t>
        </is>
      </c>
      <c r="Z22" s="2" t="inlineStr">
        <is>
          <t>Multi-agent frameworks improve collaboration/execution; self-reflection most influential among tested mechanisms</t>
        </is>
      </c>
      <c r="AA22" s="2" t="inlineStr">
        <is>
          <t>Feedback loop; role specialization; critique quality; retrieval; planning</t>
        </is>
      </c>
      <c r="AB22" s="2" t="inlineStr">
        <is>
          <t>No</t>
        </is>
      </c>
      <c r="AC22" s="2" t="inlineStr">
        <is>
          <t>None</t>
        </is>
      </c>
      <c r="AD22" s="2" t="inlineStr">
        <is>
          <t>Architecture itself changes outcome; human or physical layers may add further effects.</t>
        </is>
      </c>
      <c r="AE22" s="2" t="inlineStr">
        <is>
          <t>Benchmark + attribution/ablation analysis</t>
        </is>
      </c>
      <c r="AF22" s="2" t="inlineStr">
        <is>
          <t>https://arxiv.org/abs/2508.13201</t>
        </is>
      </c>
      <c r="AG22" s="2" t="inlineStr">
        <is>
          <t>https://arxiv.org/abs/2508.13201</t>
        </is>
      </c>
      <c r="AH22" s="2" t="inlineStr">
        <is>
          <t>Directly relevant to feedback-versus-update coding.</t>
        </is>
      </c>
    </row>
    <row r="23">
      <c r="A23" s="2" t="inlineStr">
        <is>
          <t>T22</t>
        </is>
      </c>
      <c r="B23" s="2" t="inlineStr">
        <is>
          <t>Open-Rosalind constrains agent action through explicit tool mediation and trace requirements</t>
        </is>
      </c>
      <c r="C23" s="2" t="inlineStr">
        <is>
          <t>Open-Rosalind</t>
        </is>
      </c>
      <c r="D23" s="2" t="inlineStr">
        <is>
          <t>AI-bio / biomedical agents</t>
        </is>
      </c>
      <c r="E23" s="2" t="inlineStr">
        <is>
          <t>control architecture / observability</t>
        </is>
      </c>
      <c r="F23" s="2" t="inlineStr">
        <is>
          <t>Biomedical agent could otherwise act through flexible general-purpose reasoning</t>
        </is>
      </c>
      <c r="G23" s="2" t="inlineStr">
        <is>
          <t>Impose tool-first constraints, evidence grounding, trace completeness and workflow-constrained execution</t>
        </is>
      </c>
      <c r="H23" s="2" t="inlineStr">
        <is>
          <t>LLM agent, approved tools, evidence sources, workflow constraints, audit trace</t>
        </is>
      </c>
      <c r="I23" s="2" t="inlineStr">
        <is>
          <t>Agent -&gt; tool -&gt; evidence -&gt; claim</t>
        </is>
      </c>
      <c r="J23" s="2" t="inlineStr">
        <is>
          <t>Tool requests, evidence, outputs, provenance, trace records</t>
        </is>
      </c>
      <c r="K23" s="2" t="inlineStr">
        <is>
          <t>Task -&gt; explicit tool call -&gt; evidence returned -&gt; constrained reasoning -&gt; factual claim -&gt; audit trail</t>
        </is>
      </c>
      <c r="L23" s="2" t="inlineStr">
        <is>
          <t>Unsupported or unmediated claim/action attempt</t>
        </is>
      </c>
      <c r="M23" s="2" t="inlineStr">
        <is>
          <t>Without mediation, hallucinated/opaque actions could propagate</t>
        </is>
      </c>
      <c r="N23" s="2" t="inlineStr">
        <is>
          <t>Tool mediation, workflow constraints, trace completeness</t>
        </is>
      </c>
      <c r="O23" s="2" t="inlineStr">
        <is>
          <t>Process-aware benchmark/audit trace</t>
        </is>
      </c>
      <c r="P23" s="2" t="inlineStr">
        <is>
          <t>High because explicit mediation localizes actions</t>
        </is>
      </c>
      <c r="Q23" s="2" t="inlineStr">
        <is>
          <t>Constraint architecture blocks or exposes unsupported paths</t>
        </is>
      </c>
      <c r="R23" s="2" t="inlineStr">
        <is>
          <t>Designed to improve accountability/traceability; broader harm reduction not established</t>
        </is>
      </c>
      <c r="S23" s="2" t="inlineStr">
        <is>
          <t>High computationally</t>
        </is>
      </c>
      <c r="T23" s="2" t="inlineStr">
        <is>
          <t>Potentially high because trace permits diagnosis/retry</t>
        </is>
      </c>
      <c r="U23" s="2" t="inlineStr">
        <is>
          <t>Yes</t>
        </is>
      </c>
      <c r="V23" s="2" t="inlineStr">
        <is>
          <t>High by design</t>
        </is>
      </c>
      <c r="W23" s="2" t="inlineStr">
        <is>
          <t>Yes in workflow</t>
        </is>
      </c>
      <c r="X23" s="2" t="inlineStr">
        <is>
          <t>System designed for constrained correction; extent task-dependent</t>
        </is>
      </c>
      <c r="Y23" s="2" t="inlineStr">
        <is>
          <t>Workflow-level control rather than persistent learning</t>
        </is>
      </c>
      <c r="Z23" s="2" t="inlineStr">
        <is>
          <t>Demonstrates a technical relational design prioritizing auditable interfaces over unconstrained autonomy</t>
        </is>
      </c>
      <c r="AA23" s="2" t="inlineStr">
        <is>
          <t>Tool mediation; traceability; evidence provenance; authority constraints</t>
        </is>
      </c>
      <c r="AB23" s="2" t="inlineStr">
        <is>
          <t>No</t>
        </is>
      </c>
      <c r="AC23" s="2" t="inlineStr">
        <is>
          <t>None</t>
        </is>
      </c>
      <c r="AD23" s="2" t="inlineStr">
        <is>
          <t>Technical control benefits may change with human/organizational override or physical execution.</t>
        </is>
      </c>
      <c r="AE23" s="2" t="inlineStr">
        <is>
          <t>System/benchmark evidence</t>
        </is>
      </c>
      <c r="AF23" s="2" t="inlineStr">
        <is>
          <t>https://www.biorxiv.org/content/10.64898/2026.05.06.722404v1</t>
        </is>
      </c>
      <c r="AG23" s="2" t="inlineStr">
        <is>
          <t>https://www.biorxiv.org/content/10.64898/2026.05.06.722404v1.full</t>
        </is>
      </c>
      <c r="AH23" s="2" t="inlineStr">
        <is>
          <t>A useful candidate relational control rather than failure trajectory.</t>
        </is>
      </c>
    </row>
    <row r="24">
      <c r="A24" s="2" t="inlineStr">
        <is>
          <t>T23</t>
        </is>
      </c>
      <c r="B24" s="2" t="inlineStr">
        <is>
          <t>Autonomous-research frameworks produce convincing plans/manuscripts but fail transition to executable science</t>
        </is>
      </c>
      <c r="C24" s="2" t="inlineStr">
        <is>
          <t>Can AI Conduct Autonomous Scientific Research?</t>
        </is>
      </c>
      <c r="D24" s="2" t="inlineStr">
        <is>
          <t>AI for science / computational biology</t>
        </is>
      </c>
      <c r="E24" s="2" t="inlineStr">
        <is>
          <t>claim-execution decoupling</t>
        </is>
      </c>
      <c r="F24" s="2" t="inlineStr">
        <is>
          <t>Frameworks advertised as autonomous scientific-research systems</t>
        </is>
      </c>
      <c r="G24" s="2" t="inlineStr">
        <is>
          <t>Require actual code execution and genuine computational result generation on real tasks</t>
        </is>
      </c>
      <c r="H24" s="2" t="inlineStr">
        <is>
          <t>AI research framework, planner, code generator/executor, real task, manuscript output</t>
        </is>
      </c>
      <c r="I24" s="2" t="inlineStr">
        <is>
          <t>Planning/text -&gt; executable code -&gt; empirical result</t>
        </is>
      </c>
      <c r="J24" s="2" t="inlineStr">
        <is>
          <t>Research plans, code, purported results, manuscript claims</t>
        </is>
      </c>
      <c r="K24" s="2" t="inlineStr">
        <is>
          <t>Idea/task -&gt; planning -&gt; code generation -&gt; supposed experiment -&gt; manuscript</t>
        </is>
      </c>
      <c r="L24" s="2" t="inlineStr">
        <is>
          <t>Transition from planning/text to executable implementation</t>
        </is>
      </c>
      <c r="M24" s="2" t="inlineStr">
        <is>
          <t>Fabricated/unexecuted results can be propagated into polished manuscripts</t>
        </is>
      </c>
      <c r="N24" s="2" t="inlineStr">
        <is>
          <t>Direct execution requirement and result verification</t>
        </is>
      </c>
      <c r="O24" s="2" t="inlineStr">
        <is>
          <t>Researchers inspect whether code actually runs and results are genuine</t>
        </is>
      </c>
      <c r="P24" s="2" t="inlineStr">
        <is>
          <t>High; failure localized at planning-to-execution boundary</t>
        </is>
      </c>
      <c r="Q24" s="2" t="inlineStr">
        <is>
          <t>Demand executable artifacts / independent verification</t>
        </is>
      </c>
      <c r="R24" s="2" t="inlineStr">
        <is>
          <t>Verification collapses inflated autonomy claim</t>
        </is>
      </c>
      <c r="S24" s="2" t="inlineStr">
        <is>
          <t>High before downstream use</t>
        </is>
      </c>
      <c r="T24" s="2" t="inlineStr">
        <is>
          <t>Requires substantial human debugging/implementation</t>
        </is>
      </c>
      <c r="U24" s="2" t="inlineStr">
        <is>
          <t>Yes when execution attempted</t>
        </is>
      </c>
      <c r="V24" s="2" t="inlineStr">
        <is>
          <t>High (code runs or fails; genuine result exists or not)</t>
        </is>
      </c>
      <c r="W24" s="2" t="inlineStr">
        <is>
          <t>Framework-dependent and insufficient in reported cases</t>
        </is>
      </c>
      <c r="X24" s="2" t="inlineStr">
        <is>
          <t>No full-cycle recovery</t>
        </is>
      </c>
      <c r="Y24" s="2" t="inlineStr">
        <is>
          <t>None demonstrated across full task</t>
        </is>
      </c>
      <c r="Z24" s="2" t="inlineStr">
        <is>
          <t>No evaluated framework completed full scientific cycle; some outputs included fabricated results</t>
        </is>
      </c>
      <c r="AA24" s="2" t="inlineStr">
        <is>
          <t>Execution verification; artifact provenance; separation of narrative and ground truth</t>
        </is>
      </c>
      <c r="AB24" s="2" t="inlineStr">
        <is>
          <t>No</t>
        </is>
      </c>
      <c r="AC24" s="2" t="inlineStr">
        <is>
          <t>None</t>
        </is>
      </c>
      <c r="AD24" s="2" t="inlineStr">
        <is>
          <t>Expanding boundary from text output to execution fundamentally changes capability conclusion.</t>
        </is>
      </c>
      <c r="AE24" s="2" t="inlineStr">
        <is>
          <t>Direct real-task case study</t>
        </is>
      </c>
      <c r="AF24" s="2" t="inlineStr">
        <is>
          <t>https://www.biorxiv.org/content/10.64898/2026.01.05.697809v1</t>
        </is>
      </c>
      <c r="AG24" s="2" t="inlineStr">
        <is>
          <t>https://www.biorxiv.org/content/10.64898/2026.01.05.697809v1.full</t>
        </is>
      </c>
      <c r="AH24" s="2" t="inlineStr">
        <is>
          <t>Excellent claim-demonstration-gap exemplar.</t>
        </is>
      </c>
    </row>
    <row r="25">
      <c r="A25" s="2" t="inlineStr">
        <is>
          <t>T24</t>
        </is>
      </c>
      <c r="B25" s="2" t="inlineStr">
        <is>
          <t>Compiler-verified biological protocol retains execution semantics across manual and liquid-handler contexts</t>
        </is>
      </c>
      <c r="C25" s="2" t="inlineStr">
        <is>
          <t>Towards autonomous biology: Compiler-Verified Protocols</t>
        </is>
      </c>
      <c r="D25" s="2" t="inlineStr">
        <is>
          <t>AI-bio / laboratory automation</t>
        </is>
      </c>
      <c r="E25" s="2" t="inlineStr">
        <is>
          <t>context preservation / cross-platform execution</t>
        </is>
      </c>
      <c r="F25" s="2" t="inlineStr">
        <is>
          <t>Laboratory protocol represented in compiler-verifiable BPL source</t>
        </is>
      </c>
      <c r="G25" s="2" t="inlineStr">
        <is>
          <t>Move same protocol across manual and automated execution contexts</t>
        </is>
      </c>
      <c r="H25" s="2" t="inlineStr">
        <is>
          <t>Protocol source, compiler/verifier, human/manual execution, liquid handler, biological assay</t>
        </is>
      </c>
      <c r="I25" s="2" t="inlineStr">
        <is>
          <t>Digital protocol -&gt; execution platform -&gt; physical biological process</t>
        </is>
      </c>
      <c r="J25" s="2" t="inlineStr">
        <is>
          <t>Explicit procedural semantics, parameters, execution commands</t>
        </is>
      </c>
      <c r="K25" s="2" t="inlineStr">
        <is>
          <t>Define protocol -&gt; compile/verify -&gt; execute manually and/or robotically -&gt; compare physical result</t>
        </is>
      </c>
      <c r="L25" s="2" t="inlineStr">
        <is>
          <t>Potential platform-specific translation/implementation differences</t>
        </is>
      </c>
      <c r="M25" s="2" t="inlineStr">
        <is>
          <t>Ambiguous implicit steps could otherwise cause platform-specific error</t>
        </is>
      </c>
      <c r="N25" s="2" t="inlineStr">
        <is>
          <t>Compiler verification and single source of truth</t>
        </is>
      </c>
      <c r="O25" s="2" t="inlineStr">
        <is>
          <t>Cross-platform outcome comparison</t>
        </is>
      </c>
      <c r="P25" s="2" t="inlineStr">
        <is>
          <t>High because source protocol is controlled</t>
        </is>
      </c>
      <c r="Q25" s="2" t="inlineStr">
        <is>
          <t>Compiler/verification catches invalid representations before execution</t>
        </is>
      </c>
      <c r="R25" s="2" t="inlineStr">
        <is>
          <t>Reduces ambiguity in digital-to-physical handoff</t>
        </is>
      </c>
      <c r="S25" s="2" t="inlineStr">
        <is>
          <t>Moderate before execution; lower after irreversible lab steps</t>
        </is>
      </c>
      <c r="T25" s="2" t="inlineStr">
        <is>
          <t>Protocol can be corrected/recompiled</t>
        </is>
      </c>
      <c r="U25" s="2" t="inlineStr">
        <is>
          <t>Yes from compiler and experimental result</t>
        </is>
      </c>
      <c r="V25" s="2" t="inlineStr">
        <is>
          <t>High for syntax/structure; biological feedback workflow-specific</t>
        </is>
      </c>
      <c r="W25" s="2" t="inlineStr">
        <is>
          <t>Yes at protocol source</t>
        </is>
      </c>
      <c r="X25" s="2" t="inlineStr">
        <is>
          <t>Cross-platform reproducibility reported</t>
        </is>
      </c>
      <c r="Y25" s="2" t="inlineStr">
        <is>
          <t>Design/protocol update</t>
        </is>
      </c>
      <c r="Z25" s="2" t="inlineStr">
        <is>
          <t>Reported reproducible wet-lab execution across manual and liquid-handler contexts</t>
        </is>
      </c>
      <c r="AA25" s="2" t="inlineStr">
        <is>
          <t>Semantic preservation; verification; interface standardization; reversibility before execution</t>
        </is>
      </c>
      <c r="AB25" s="2" t="inlineStr">
        <is>
          <t>Yes</t>
        </is>
      </c>
      <c r="AC25" s="2" t="inlineStr">
        <is>
          <t>Core</t>
        </is>
      </c>
      <c r="AD25" s="2" t="inlineStr">
        <is>
          <t>Includes digital-physical relationship directly; organizational/human intent remains outside scope.</t>
        </is>
      </c>
      <c r="AE25" s="2" t="inlineStr">
        <is>
          <t>Wet-lab cross-platform validation</t>
        </is>
      </c>
      <c r="AF25" s="2" t="inlineStr">
        <is>
          <t>https://www.biorxiv.org/content/10.64898/2026.05.05.720956v1</t>
        </is>
      </c>
      <c r="AG25" s="2" t="inlineStr">
        <is>
          <t>https://www.biorxiv.org/content/10.64898/2026.05.05.720956v1.full</t>
        </is>
      </c>
      <c r="AH25" s="2" t="inlineStr">
        <is>
          <t>Potential example of relationship design that buffers error rather than only detects it.</t>
        </is>
      </c>
    </row>
    <row r="26">
      <c r="A26" s="2" t="inlineStr">
        <is>
          <t>T25</t>
        </is>
      </c>
      <c r="B26" s="2" t="inlineStr">
        <is>
          <t>CRISPR-GPT enables junior researchers to execute successful AI-guided gene-editing workflows</t>
        </is>
      </c>
      <c r="C26" s="2" t="inlineStr">
        <is>
          <t>CRISPR-GPT</t>
        </is>
      </c>
      <c r="D26" s="2" t="inlineStr">
        <is>
          <t>AI-bio / gene editing</t>
        </is>
      </c>
      <c r="E26" s="2" t="inlineStr">
        <is>
          <t>human-AI capability uplift / physical execution</t>
        </is>
      </c>
      <c r="F26" s="2" t="inlineStr">
        <is>
          <t>Junior researchers unfamiliar with gene editing use AI copilot</t>
        </is>
      </c>
      <c r="G26" s="2" t="inlineStr">
        <is>
          <t>Add domain-specific multi-agent AI, RAG, tools and stepwise feedback to human workflow</t>
        </is>
      </c>
      <c r="H26" s="2" t="inlineStr">
        <is>
          <t>Junior human, planner, task executor, user proxy, tools/databases, protocols, wet-lab materials</t>
        </is>
      </c>
      <c r="I26" s="2" t="inlineStr">
        <is>
          <t>AI &lt;-&gt; human -&gt; tools -&gt; physical experiment</t>
        </is>
      </c>
      <c r="J26" s="2" t="inlineStr">
        <is>
          <t>Goals, recommendations, choices, tool outputs, protocol instructions, feedback</t>
        </is>
      </c>
      <c r="K26" s="2" t="inlineStr">
        <is>
          <t>User goal -&gt; task decomposition -&gt; system/delivery/gRNA/protocol choices -&gt; human wet-lab execution -&gt; biological validation -&gt; analysis</t>
        </is>
      </c>
      <c r="L26" s="2" t="inlineStr">
        <is>
          <t>Could occur at any choice/handoff; system provides staged instructions and clarification</t>
        </is>
      </c>
      <c r="M26" s="2" t="inlineStr">
        <is>
          <t>Incorrect early design or protocol choices could affect physical experiment</t>
        </is>
      </c>
      <c r="N26" s="2" t="inlineStr">
        <is>
          <t>Expert-curated knowledge, tool calls, user interaction, validation assays</t>
        </is>
      </c>
      <c r="O26" s="2" t="inlineStr">
        <is>
          <t>Editing efficiency, phenotype and protein-level validation</t>
        </is>
      </c>
      <c r="P26" s="2" t="inlineStr">
        <is>
          <t>Moderate; success is coupled human+AI system, not AI alone</t>
        </is>
      </c>
      <c r="Q26" s="2" t="inlineStr">
        <is>
          <t>Human can monitor/correct user-proxy content; agents retrieve external evidence</t>
        </is>
      </c>
      <c r="R26" s="2" t="inlineStr">
        <is>
          <t>Coupled system supports first-attempt success in reported experiments</t>
        </is>
      </c>
      <c r="S26" s="2" t="inlineStr">
        <is>
          <t>Mixed; design choices reversible before physical steps</t>
        </is>
      </c>
      <c r="T26" s="2" t="inlineStr">
        <is>
          <t>Possible through iterative human-AI workflow</t>
        </is>
      </c>
      <c r="U26" s="2" t="inlineStr">
        <is>
          <t>Yes</t>
        </is>
      </c>
      <c r="V26" s="2" t="inlineStr">
        <is>
          <t>High with biological assays/expert context</t>
        </is>
      </c>
      <c r="W26" s="2" t="inlineStr">
        <is>
          <t>Yes within workflow</t>
        </is>
      </c>
      <c r="X26" s="2" t="inlineStr">
        <is>
          <t>Yes through multistep feedback and analysis</t>
        </is>
      </c>
      <c r="Y26" s="2" t="inlineStr">
        <is>
          <t>Coupled human-AI task adaptation</t>
        </is>
      </c>
      <c r="Z26" s="2" t="inlineStr">
        <is>
          <t>Reported successful AI-guided knockout/activation experiments by junior researchers</t>
        </is>
      </c>
      <c r="AA26" s="2" t="inlineStr">
        <is>
          <t>Human expertise baseline; tool mediation; staged decision authority; physical validation; feedback quality</t>
        </is>
      </c>
      <c r="AB26" s="2" t="inlineStr">
        <is>
          <t>Yes</t>
        </is>
      </c>
      <c r="AC26" s="2" t="inlineStr">
        <is>
          <t>Core</t>
        </is>
      </c>
      <c r="AD26" s="2" t="inlineStr">
        <is>
          <t>Outcome emerges from full human-AI-tool-lab configuration; model-only benchmark would miss it.</t>
        </is>
      </c>
      <c r="AE26" s="2" t="inlineStr">
        <is>
          <t>Benchmark + wet-lab case demonstration</t>
        </is>
      </c>
      <c r="AF26" s="2" t="inlineStr">
        <is>
          <t>https://www.nature.com/articles/s41551-025-01463-z</t>
        </is>
      </c>
      <c r="AG26" s="2" t="inlineStr">
        <is>
          <t>https://www.nature.com/articles/s41551-025-01463-z</t>
        </is>
      </c>
      <c r="AH26" s="2" t="inlineStr">
        <is>
          <t>Directly relevant to uplift and authority-flow questions.</t>
        </is>
      </c>
    </row>
    <row r="27">
      <c r="A27" s="2" t="inlineStr">
        <is>
          <t>T26</t>
        </is>
      </c>
      <c r="B27" s="2" t="inlineStr">
        <is>
          <t>AI Co-Scientist hypotheses cross from multi-agent reasoning to wet-lab validation</t>
        </is>
      </c>
      <c r="C27" s="2" t="inlineStr">
        <is>
          <t>Accelerating scientific discovery with Co-Scientist</t>
        </is>
      </c>
      <c r="D27" s="2" t="inlineStr">
        <is>
          <t>AI-bio / biomedical discovery</t>
        </is>
      </c>
      <c r="E27" s="2" t="inlineStr">
        <is>
          <t>digital-to-physical validation</t>
        </is>
      </c>
      <c r="F27" s="2" t="inlineStr">
        <is>
          <t>Multi-agent system generates/ranks/refines scientific hypotheses and proposals</t>
        </is>
      </c>
      <c r="G27" s="2" t="inlineStr">
        <is>
          <t>Select AI-generated hypotheses for physical experimental testing</t>
        </is>
      </c>
      <c r="H27" s="2" t="inlineStr">
        <is>
          <t>Generation/reflection/ranking/evolution/meta-review agents, expert supervisors, lab researchers, biological systems</t>
        </is>
      </c>
      <c r="I27" s="2" t="inlineStr">
        <is>
          <t>AI hypothesis -&gt; expert selection -&gt; wet-lab experiment -&gt; empirical feedback</t>
        </is>
      </c>
      <c r="J27" s="2" t="inlineStr">
        <is>
          <t>Hypotheses, critiques, rankings, experimental designs, physical results</t>
        </is>
      </c>
      <c r="K27" s="2" t="inlineStr">
        <is>
          <t>Generate -&gt; reflect/rank/refine -&gt; expert review -&gt; experiment -&gt; observe -&gt; compare with prediction</t>
        </is>
      </c>
      <c r="L27" s="2" t="inlineStr">
        <is>
          <t>Potential mismatch between plausible proposal and biological reality</t>
        </is>
      </c>
      <c r="M27" s="2" t="inlineStr">
        <is>
          <t>Selection bias or overconfidence could prioritize weak hypotheses</t>
        </is>
      </c>
      <c r="N27" s="2" t="inlineStr">
        <is>
          <t>Multi-agent critique/ranking, expert supervision, empirical validation</t>
        </is>
      </c>
      <c r="O27" s="2" t="inlineStr">
        <is>
          <t>Wet-lab outcome</t>
        </is>
      </c>
      <c r="P27" s="2" t="inlineStr">
        <is>
          <t>Moderate; physical validation confirms selected hypotheses but system contribution is compositional</t>
        </is>
      </c>
      <c r="Q27" s="2" t="inlineStr">
        <is>
          <t>Expert selection and experimental testing</t>
        </is>
      </c>
      <c r="R27" s="2" t="inlineStr">
        <is>
          <t>Reality testing filters some purely computational claims</t>
        </is>
      </c>
      <c r="S27" s="2" t="inlineStr">
        <is>
          <t>Moderate before experiments</t>
        </is>
      </c>
      <c r="T27" s="2" t="inlineStr">
        <is>
          <t>Failed hypotheses can be discarded/refined</t>
        </is>
      </c>
      <c r="U27" s="2" t="inlineStr">
        <is>
          <t>Yes</t>
        </is>
      </c>
      <c r="V27" s="2" t="inlineStr">
        <is>
          <t>High through experimental result, though biology may be noisy</t>
        </is>
      </c>
      <c r="W27" s="2" t="inlineStr">
        <is>
          <t>System has reflection/evolution mechanisms; degree of closed-loop lab update varies by setup</t>
        </is>
      </c>
      <c r="X27" s="2" t="inlineStr">
        <is>
          <t>Selected cases physically validated</t>
        </is>
      </c>
      <c r="Y27" s="2" t="inlineStr">
        <is>
          <t>Hypothesis refinement plus empirical validation</t>
        </is>
      </c>
      <c r="Z27" s="2" t="inlineStr">
        <is>
          <t>Wet-lab validations reported across drug repurposing, treatment targets and AMR mechanisms</t>
        </is>
      </c>
      <c r="AA27" s="2" t="inlineStr">
        <is>
          <t>Critique diversity; ranking; expert gate; selection; physical feedback</t>
        </is>
      </c>
      <c r="AB27" s="2" t="inlineStr">
        <is>
          <t>Yes</t>
        </is>
      </c>
      <c r="AC27" s="2" t="inlineStr">
        <is>
          <t>Core</t>
        </is>
      </c>
      <c r="AD27" s="2" t="inlineStr">
        <is>
          <t>Expanding from hypothesis quality to physical validation materially strengthens capability inference.</t>
        </is>
      </c>
      <c r="AE27" s="2" t="inlineStr">
        <is>
          <t>End-to-end selected-case validation</t>
        </is>
      </c>
      <c r="AF27" s="2" t="inlineStr">
        <is>
          <t>https://www.nature.com/articles/s41586-026-10644-y</t>
        </is>
      </c>
      <c r="AG27" s="2" t="inlineStr">
        <is>
          <t>https://www.nature.com/articles/s41586-026-10644-y</t>
        </is>
      </c>
      <c r="AH27" s="2" t="inlineStr">
        <is>
          <t>Need to preserve selected-case nature; not a frequency estimate.</t>
        </is>
      </c>
    </row>
    <row r="28">
      <c r="A28" s="2" t="inlineStr">
        <is>
          <t>T27</t>
        </is>
      </c>
      <c r="B28" s="2" t="inlineStr">
        <is>
          <t>BioMedAgent self-evolves tool use and generalizes to external BixBench</t>
        </is>
      </c>
      <c r="C28" s="2" t="inlineStr">
        <is>
          <t>BioMedAgent / BioMed-AQA</t>
        </is>
      </c>
      <c r="D28" s="2" t="inlineStr">
        <is>
          <t>AI-bio / biomedical data analysis</t>
        </is>
      </c>
      <c r="E28" s="2" t="inlineStr">
        <is>
          <t>tool-learning / generalization</t>
        </is>
      </c>
      <c r="F28" s="2" t="inlineStr">
        <is>
          <t>Multi-agent system must solve specialized biomedical analysis tasks using heterogeneous tools</t>
        </is>
      </c>
      <c r="G28" s="2" t="inlineStr">
        <is>
          <t>Allow interactive exploration and memory retrieval to adapt tool use</t>
        </is>
      </c>
      <c r="H28" s="2" t="inlineStr">
        <is>
          <t>Agents, memory, tool library, biomedical data, benchmark tasks</t>
        </is>
      </c>
      <c r="I28" s="2" t="inlineStr">
        <is>
          <t>Agent -&gt; tool -&gt; execution feedback -&gt; memory -&gt; next action</t>
        </is>
      </c>
      <c r="J28" s="2" t="inlineStr">
        <is>
          <t>Tool descriptions, commands, results, learned usage patterns, retrieved memories</t>
        </is>
      </c>
      <c r="K28" s="2" t="inlineStr">
        <is>
          <t>Task -&gt; choose/explore tool -&gt; execute -&gt; observe result -&gt; store/retrieve experience -&gt; refine workflow -&gt; output</t>
        </is>
      </c>
      <c r="L28" s="2" t="inlineStr">
        <is>
          <t>Tool selection/usage and multi-step reasoning</t>
        </is>
      </c>
      <c r="M28" s="2" t="inlineStr">
        <is>
          <t>Wrong tool/parameter choice can cascade</t>
        </is>
      </c>
      <c r="N28" s="2" t="inlineStr">
        <is>
          <t>Interactive exploration, memory retrieval, multi-agent division</t>
        </is>
      </c>
      <c r="O28" s="2" t="inlineStr">
        <is>
          <t>Task success metrics and external benchmark performance</t>
        </is>
      </c>
      <c r="P28" s="2" t="inlineStr">
        <is>
          <t>Architecture comparison and external BixBench generalization</t>
        </is>
      </c>
      <c r="Q28" s="2" t="inlineStr">
        <is>
          <t>Memory/tool-learning mechanisms</t>
        </is>
      </c>
      <c r="R28" s="2" t="inlineStr">
        <is>
          <t>Reported improved task success and cross-benchmark generalization</t>
        </is>
      </c>
      <c r="S28" s="2" t="inlineStr">
        <is>
          <t>High computationally</t>
        </is>
      </c>
      <c r="T28" s="2" t="inlineStr">
        <is>
          <t>Yes through exploration/retry</t>
        </is>
      </c>
      <c r="U28" s="2" t="inlineStr">
        <is>
          <t>Yes</t>
        </is>
      </c>
      <c r="V28" s="2" t="inlineStr">
        <is>
          <t>Moderate-high; tool outputs explicit</t>
        </is>
      </c>
      <c r="W28" s="2" t="inlineStr">
        <is>
          <t>Yes by design</t>
        </is>
      </c>
      <c r="X28" s="2" t="inlineStr">
        <is>
          <t>Yes in self-evolving workflow and external generalization</t>
        </is>
      </c>
      <c r="Y28" s="2" t="inlineStr">
        <is>
          <t>Within-system tool-use memory</t>
        </is>
      </c>
      <c r="Z28" s="2" t="inlineStr">
        <is>
          <t>77% reported success on BioMed-AQA and robust external BixBench generalization</t>
        </is>
      </c>
      <c r="AA28" s="2" t="inlineStr">
        <is>
          <t>Tool feedback; memory; experience reuse; agent specialization</t>
        </is>
      </c>
      <c r="AB28" s="2" t="inlineStr">
        <is>
          <t>No</t>
        </is>
      </c>
      <c r="AC28" s="2" t="inlineStr">
        <is>
          <t>None</t>
        </is>
      </c>
      <c r="AD28" s="2" t="inlineStr">
        <is>
          <t>Tool-learning evidence strong computationally; physical/human consequences absent.</t>
        </is>
      </c>
      <c r="AE28" s="2" t="inlineStr">
        <is>
          <t>Benchmark + external generalization</t>
        </is>
      </c>
      <c r="AF28" s="2" t="inlineStr">
        <is>
          <t>https://www.nature.com/articles/s41551-026-01634-6</t>
        </is>
      </c>
      <c r="AG28" s="2" t="inlineStr">
        <is>
          <t>https://www.nature.com/articles/s41551-026-01634-6</t>
        </is>
      </c>
      <c r="AH28" s="2" t="inlineStr">
        <is>
          <t>Useful case where feedback leads to persistent within-system update.</t>
        </is>
      </c>
    </row>
    <row r="29">
      <c r="A29" s="2" t="inlineStr">
        <is>
          <t>T28</t>
        </is>
      </c>
      <c r="B29" s="2" t="inlineStr">
        <is>
          <t>Physical wet-lab RCT attenuates benchmark-based expectations of novice uplift</t>
        </is>
      </c>
      <c r="C29" s="2" t="inlineStr">
        <is>
          <t>Measuring Mid-2025 LLM-Assistance on Novice Performance in Biology</t>
        </is>
      </c>
      <c r="D29" s="2" t="inlineStr">
        <is>
          <t>AI-bio human uplift</t>
        </is>
      </c>
      <c r="E29" s="2" t="inlineStr">
        <is>
          <t>controlled physical validation / null primary outcome</t>
        </is>
      </c>
      <c r="F29" s="2" t="inlineStr">
        <is>
          <t>Frontier LLMs score strongly on biology benchmarks; concern that novices may gain practical lab capability.</t>
        </is>
      </c>
      <c r="G29" s="2" t="inlineStr">
        <is>
          <t>Give novices frontier LLM access during a multi-step physical biology workflow.</t>
        </is>
      </c>
      <c r="H29" s="2" t="inlineStr">
        <is>
          <t>novice participant; LLM; internet; lab equipment/materials; protocol/task environment</t>
        </is>
      </c>
      <c r="I29" s="2" t="inlineStr">
        <is>
          <t>human-AI assistance during physical execution</t>
        </is>
      </c>
      <c r="J29" s="2" t="inlineStr">
        <is>
          <t>instructions, troubleshooting advice, observations, user questions, physical outcomes</t>
        </is>
      </c>
      <c r="K29" s="2" t="inlineStr">
        <is>
          <t>LLM access -&gt; advice during tasks -&gt; physical attempts -&gt; milestone/task outcomes -&gt; compare with internet-only control</t>
        </is>
      </c>
      <c r="L29" s="2" t="inlineStr">
        <is>
          <t>No significant improvement in full workflow completion despite some intermediate progress differences.</t>
        </is>
      </c>
      <c r="M29" s="2" t="inlineStr">
        <is>
          <t>Potential assistance on specific subskills such as cell culture.</t>
        </is>
      </c>
      <c r="N29" s="2" t="inlineStr">
        <is>
          <t>Tacit skill, physical execution difficulty, baseline internet resources, task complexity.</t>
        </is>
      </c>
      <c r="O29" s="2" t="inlineStr">
        <is>
          <t>Direct via randomized physical outcomes.</t>
        </is>
      </c>
      <c r="P29" s="2" t="inlineStr">
        <is>
          <t>Strong for treatment effect within trial because of randomization.</t>
        </is>
      </c>
      <c r="Q29" s="2" t="inlineStr">
        <is>
          <t>LLM access vs no LLM.</t>
        </is>
      </c>
      <c r="R29" s="2" t="inlineStr">
        <is>
          <t>Revised interpretation: high digital capability did not translate to significant primary-endpoint physical uplift.</t>
        </is>
      </c>
      <c r="S29" s="2" t="inlineStr">
        <is>
          <t>N/A / experimental</t>
        </is>
      </c>
      <c r="T29" s="2" t="inlineStr">
        <is>
          <t>Not a failure-recovery study.</t>
        </is>
      </c>
      <c r="U29" s="2" t="inlineStr">
        <is>
          <t>Yes</t>
        </is>
      </c>
      <c r="V29" s="2" t="inlineStr">
        <is>
          <t>Yes to participants/evaluators through physical results</t>
        </is>
      </c>
      <c r="W29" s="2" t="inlineStr">
        <is>
          <t>Participants could adapt within sessions; persistent model learning not tested</t>
        </is>
      </c>
      <c r="X29" s="2" t="inlineStr">
        <is>
          <t>Intermediate progress/adaptation observed but no full-workflow uplift</t>
        </is>
      </c>
      <c r="Y29" s="2" t="inlineStr">
        <is>
          <t>human/workflow</t>
        </is>
      </c>
      <c r="Z29" s="2" t="inlineStr">
        <is>
          <t>No significant primary uplift; modest intermediate benefit signals.</t>
        </is>
      </c>
      <c r="AA29" s="2" t="inlineStr">
        <is>
          <t>physical execution barrier; tacit skill; user elicitation; task decomposition; baseline resources</t>
        </is>
      </c>
      <c r="AB29" s="2" t="inlineStr">
        <is>
          <t>Yes</t>
        </is>
      </c>
      <c r="AC29" s="2" t="inlineStr">
        <is>
          <t>Core endpoint validating/refuting upstream uplift inference</t>
        </is>
      </c>
      <c r="AD29" s="2" t="inlineStr">
        <is>
          <t>Adding the physical lab materially changes the inferred magnitude of AI uplift.</t>
        </is>
      </c>
      <c r="AE29" s="2" t="inlineStr">
        <is>
          <t>Pre-registered physical RCT</t>
        </is>
      </c>
      <c r="AF29" s="2" t="inlineStr">
        <is>
          <t>https://arxiv.org/abs/2602.16703</t>
        </is>
      </c>
      <c r="AG29" s="2" t="inlineStr">
        <is>
          <t>https://arxiv.org/pdf/2602.16703</t>
        </is>
      </c>
      <c r="AH29" s="2" t="inlineStr">
        <is>
          <t>Key proxy-to-world counterexample.</t>
        </is>
      </c>
    </row>
    <row r="30">
      <c r="A30" s="2" t="inlineStr">
        <is>
          <t>T29</t>
        </is>
      </c>
      <c r="B30" s="2" t="inlineStr">
        <is>
          <t>Long-form in-silico human uplift is large, but standalone models often outperform human-AI teams</t>
        </is>
      </c>
      <c r="C30" s="2" t="inlineStr">
        <is>
          <t>LLM Novice Uplift on Dual-Use, In Silico Biology Tasks</t>
        </is>
      </c>
      <c r="D30" s="2" t="inlineStr">
        <is>
          <t>AI-bio human uplift</t>
        </is>
      </c>
      <c r="E30" s="2" t="inlineStr">
        <is>
          <t>controlled human-AI performance trajectory</t>
        </is>
      </c>
      <c r="F30" s="2" t="inlineStr">
        <is>
          <t>Novices have limited biology expertise; frontier LLMs have strong benchmark capability.</t>
        </is>
      </c>
      <c r="G30" s="2" t="inlineStr">
        <is>
          <t>Provide novices with access to multiple frontier LLMs instead of internet only.</t>
        </is>
      </c>
      <c r="H30" s="2" t="inlineStr">
        <is>
          <t>novice; LLMs; benchmarks; internet</t>
        </is>
      </c>
      <c r="I30" s="2" t="inlineStr">
        <is>
          <t>human-AI elicitation and reliance</t>
        </is>
      </c>
      <c r="J30" s="2" t="inlineStr">
        <is>
          <t>questions, model answers, user judgment, revisions</t>
        </is>
      </c>
      <c r="K30" s="2" t="inlineStr">
        <is>
          <t>AI access -&gt; iterative assistance -&gt; user integrates/second-guesses outputs -&gt; scored task answer</t>
        </is>
      </c>
      <c r="L30" s="2" t="inlineStr">
        <is>
          <t>Large uplift vs internet, yet standalone LLM often exceeds human+AI performance.</t>
        </is>
      </c>
      <c r="M30" s="2" t="inlineStr">
        <is>
          <t>Long interaction time and model breadth.</t>
        </is>
      </c>
      <c r="N30" s="2" t="inlineStr">
        <is>
          <t>Human second-guessing / imperfect elicitation can reduce model contribution.</t>
        </is>
      </c>
      <c r="O30" s="2" t="inlineStr">
        <is>
          <t>Benchmark scoring and comparison.</t>
        </is>
      </c>
      <c r="P30" s="2" t="inlineStr">
        <is>
          <t>Treatment comparison.</t>
        </is>
      </c>
      <c r="Q30" s="2" t="inlineStr">
        <is>
          <t>LLM access.</t>
        </is>
      </c>
      <c r="R30" s="2" t="inlineStr">
        <is>
          <t>Shows human-AI composition can both amplify novice capability and dampen standalone model capability.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Yes from task interaction</t>
        </is>
      </c>
      <c r="V30" s="2" t="inlineStr">
        <is>
          <t>Partly; users may not know when model is correct</t>
        </is>
      </c>
      <c r="W30" s="2" t="inlineStr">
        <is>
          <t>Yes within interaction</t>
        </is>
      </c>
      <c r="X30" s="2" t="inlineStr">
        <is>
          <t>Variable</t>
        </is>
      </c>
      <c r="Y30" s="2" t="inlineStr">
        <is>
          <t>human/workflow</t>
        </is>
      </c>
      <c r="Z30" s="2" t="inlineStr">
        <is>
          <t>4.16x higher accuracy vs controls; composition effect non-monotonic.</t>
        </is>
      </c>
      <c r="AA30" s="2" t="inlineStr">
        <is>
          <t>trust/calibration; elicitation skill; task openness; interaction duration</t>
        </is>
      </c>
      <c r="AB30" s="2" t="inlineStr">
        <is>
          <t>No</t>
        </is>
      </c>
      <c r="AC30" s="2" t="inlineStr">
        <is>
          <t>None</t>
        </is>
      </c>
      <c r="AD30" s="2" t="inlineStr">
        <is>
          <t>Changing from model-only to human+AI changes performance; adding physical execution changes conclusions further.</t>
        </is>
      </c>
      <c r="AE30" s="2" t="inlineStr">
        <is>
          <t>Human in-silico uplift study</t>
        </is>
      </c>
      <c r="AF30" s="2" t="inlineStr">
        <is>
          <t>https://arxiv.org/abs/2602.23329</t>
        </is>
      </c>
      <c r="AG30" s="2" t="inlineStr">
        <is>
          <t>https://arxiv.org/pdf/2602.23329</t>
        </is>
      </c>
      <c r="AH30" s="2" t="inlineStr">
        <is>
          <t>Strong evidence that capability is configuration-dependent.</t>
        </is>
      </c>
    </row>
    <row r="31">
      <c r="A31" s="2" t="inlineStr">
        <is>
          <t>T30</t>
        </is>
      </c>
      <c r="B31" s="2" t="inlineStr">
        <is>
          <t>More realistic LABBench2 contexts reduce apparent biology capability</t>
        </is>
      </c>
      <c r="C31" s="2" t="inlineStr">
        <is>
          <t>LABBench2</t>
        </is>
      </c>
      <c r="D31" s="2" t="inlineStr">
        <is>
          <t>AI-bio evaluation</t>
        </is>
      </c>
      <c r="E31" s="2" t="inlineStr">
        <is>
          <t>measurement / benchmark redesign</t>
        </is>
      </c>
      <c r="F31" s="2" t="inlineStr">
        <is>
          <t>LAB-Bench performance improved and some tasks approached saturation.</t>
        </is>
      </c>
      <c r="G31" s="2" t="inlineStr">
        <is>
          <t>Expand task realism/context and redesign benchmark difficulty.</t>
        </is>
      </c>
      <c r="H31" s="2" t="inlineStr">
        <is>
          <t>model; benchmark tasks; biological context</t>
        </is>
      </c>
      <c r="I31" s="2" t="inlineStr">
        <is>
          <t>model-task interface</t>
        </is>
      </c>
      <c r="J31" s="2" t="inlineStr">
        <is>
          <t>task information and model responses</t>
        </is>
      </c>
      <c r="K31" s="2" t="inlineStr">
        <is>
          <t>same frontier models -&gt; more realistic tasks -&gt; lower scores than predecessor -&gt; capability estimate revised</t>
        </is>
      </c>
      <c r="L31" s="2" t="inlineStr">
        <is>
          <t>Scores drop 26–46 percentage points across subtasks relative to LAB-Bench.</t>
        </is>
      </c>
      <c r="M31" s="2" t="inlineStr">
        <is>
          <t>Simpler predecessor formats may inflate apparent capability.</t>
        </is>
      </c>
      <c r="N31" s="2" t="inlineStr">
        <is>
          <t>Richer context and harder tasks expose limitations.</t>
        </is>
      </c>
      <c r="O31" s="2" t="inlineStr">
        <is>
          <t>Benchmark comparison.</t>
        </is>
      </c>
      <c r="P31" s="2" t="inlineStr">
        <is>
          <t>Direct to task redesign, with model-specific variation.</t>
        </is>
      </c>
      <c r="Q31" s="2" t="inlineStr">
        <is>
          <t>Benchmark/context change.</t>
        </is>
      </c>
      <c r="R31" s="2" t="inlineStr">
        <is>
          <t>Revised interpretation of scientific capability.</t>
        </is>
      </c>
      <c r="S31" s="2" t="inlineStr">
        <is>
          <t>N/A</t>
        </is>
      </c>
      <c r="T31" s="2" t="inlineStr">
        <is>
          <t>N/A</t>
        </is>
      </c>
      <c r="U31" s="2" t="inlineStr">
        <is>
          <t>Yes to evaluators</t>
        </is>
      </c>
      <c r="V31" s="2" t="inlineStr">
        <is>
          <t>Yes</t>
        </is>
      </c>
      <c r="W31" s="2" t="inlineStr">
        <is>
          <t>Evaluation framework updated</t>
        </is>
      </c>
      <c r="X31" s="2" t="inlineStr">
        <is>
          <t>Yes at research-program level</t>
        </is>
      </c>
      <c r="Y31" s="2" t="inlineStr">
        <is>
          <t>evaluation/research-field</t>
        </is>
      </c>
      <c r="Z31" s="2" t="inlineStr">
        <is>
          <t>More conservative capability estimate under harder contexts.</t>
        </is>
      </c>
      <c r="AA31" s="2" t="inlineStr">
        <is>
          <t>task realism; context density; benchmark saturation</t>
        </is>
      </c>
      <c r="AB31" s="2" t="inlineStr">
        <is>
          <t>No</t>
        </is>
      </c>
      <c r="AC31" s="2" t="inlineStr">
        <is>
          <t>None</t>
        </is>
      </c>
      <c r="AD31" s="2" t="inlineStr">
        <is>
          <t>Measurement changes when the task boundary better approximates research work.</t>
        </is>
      </c>
      <c r="AE31" s="2" t="inlineStr">
        <is>
          <t>Cross-benchmark empirical comparison</t>
        </is>
      </c>
      <c r="AF31" s="2" t="inlineStr">
        <is>
          <t>https://arxiv.org/abs/2604.09554</t>
        </is>
      </c>
      <c r="AG31" s="2" t="inlineStr">
        <is>
          <t>https://arxiv.org/pdf/2604.09554</t>
        </is>
      </c>
      <c r="AH31" s="2" t="inlineStr">
        <is>
          <t>Construct-validity trajectory.</t>
        </is>
      </c>
    </row>
    <row r="32">
      <c r="A32" s="2" t="inlineStr">
        <is>
          <t>T31</t>
        </is>
      </c>
      <c r="B32" s="2" t="inlineStr">
        <is>
          <t>Provider filters generate refusal without reliable hazard discrimination</t>
        </is>
      </c>
      <c r="C32" s="2" t="inlineStr">
        <is>
          <t>BioSecBench-Refusal</t>
        </is>
      </c>
      <c r="D32" s="2" t="inlineStr">
        <is>
          <t>AI-bio safeguards</t>
        </is>
      </c>
      <c r="E32" s="2" t="inlineStr">
        <is>
          <t>safeguard / proxy-decoupling trajectory</t>
        </is>
      </c>
      <c r="F32" s="2" t="inlineStr">
        <is>
          <t>Raw refusal rate is often treated as evidence of safety.</t>
        </is>
      </c>
      <c r="G32" s="2" t="inlineStr">
        <is>
          <t>Present paired routine and concealed-hazard biology tasks across model-harness configurations.</t>
        </is>
      </c>
      <c r="H32" s="2" t="inlineStr">
        <is>
          <t>user task; provider filter; model; agent harness; scorer</t>
        </is>
      </c>
      <c r="I32" s="2" t="inlineStr">
        <is>
          <t>task -&gt; filter -&gt; reasoning pipeline</t>
        </is>
      </c>
      <c r="J32" s="2" t="inlineStr">
        <is>
          <t>task content, safety signal, refusal/action decision</t>
        </is>
      </c>
      <c r="K32" s="2" t="inlineStr">
        <is>
          <t>task -&gt; provider filter may block before reasoning -&gt; refusal observed -&gt; paired labels reveal whether refusal tracks hazard</t>
        </is>
      </c>
      <c r="L32" s="2" t="inlineStr">
        <is>
          <t>Many systems refuse benign routine work as often or more often than hazards.</t>
        </is>
      </c>
      <c r="M32" s="2" t="inlineStr">
        <is>
          <t>Broad upstream filters can inflate raw refusal.</t>
        </is>
      </c>
      <c r="N32" s="2" t="inlineStr">
        <is>
          <t>Extended reasoning can improve risk identification.</t>
        </is>
      </c>
      <c r="O32" s="2" t="inlineStr">
        <is>
          <t>Paired routine/red-team benchmark.</t>
        </is>
      </c>
      <c r="P32" s="2" t="inlineStr">
        <is>
          <t>Configuration-level comparison.</t>
        </is>
      </c>
      <c r="Q32" s="2" t="inlineStr">
        <is>
          <t>Harness/filter/reasoning configuration.</t>
        </is>
      </c>
      <c r="R32" s="2" t="inlineStr">
        <is>
          <t>Reveals raw refusal as a weak proxy for calibrated safety.</t>
        </is>
      </c>
      <c r="S32" s="2" t="inlineStr">
        <is>
          <t>Yes at configuration level</t>
        </is>
      </c>
      <c r="T32" s="2" t="inlineStr">
        <is>
          <t>Reconfigure filters/reasoning.</t>
        </is>
      </c>
      <c r="U32" s="2" t="inlineStr">
        <is>
          <t>Yes</t>
        </is>
      </c>
      <c r="V32" s="2" t="inlineStr">
        <is>
          <t>Yes</t>
        </is>
      </c>
      <c r="W32" s="2" t="inlineStr">
        <is>
          <t>Yes for system redesign</t>
        </is>
      </c>
      <c r="X32" s="2" t="inlineStr">
        <is>
          <t>Not longitudinally</t>
        </is>
      </c>
      <c r="Y32" s="2" t="inlineStr">
        <is>
          <t>evaluation/system design</t>
        </is>
      </c>
      <c r="Z32" s="2" t="inlineStr">
        <is>
          <t>Large cross-configuration variability and poor calibration in many settings.</t>
        </is>
      </c>
      <c r="AA32" s="2" t="inlineStr">
        <is>
          <t>filter placement; reasoning opportunity; harness; task framing</t>
        </is>
      </c>
      <c r="AB32" s="2" t="inlineStr">
        <is>
          <t>No</t>
        </is>
      </c>
      <c r="AC32" s="2" t="inlineStr">
        <is>
          <t>None</t>
        </is>
      </c>
      <c r="AD32" s="2" t="inlineStr">
        <is>
          <t>Safety conclusion changes when model is treated as part of a filter+harness pipeline rather than isolated component.</t>
        </is>
      </c>
      <c r="AE32" s="2" t="inlineStr">
        <is>
          <t>Controlled safeguard benchmark</t>
        </is>
      </c>
      <c r="AF32" s="2" t="inlineStr">
        <is>
          <t>https://arxiv.org/abs/2607.05462</t>
        </is>
      </c>
      <c r="AG32" s="2" t="inlineStr">
        <is>
          <t>https://arxiv.org/pdf/2607.05462</t>
        </is>
      </c>
      <c r="AH32" s="2" t="inlineStr">
        <is>
          <t>Directly supports proxy-target decoupling.</t>
        </is>
      </c>
    </row>
    <row r="33">
      <c r="A33" s="2" t="inlineStr">
        <is>
          <t>T32</t>
        </is>
      </c>
      <c r="B33" s="2" t="inlineStr">
        <is>
          <t>RepliBench component success does not compose into credible autonomous self-replication</t>
        </is>
      </c>
      <c r="C33" s="2" t="inlineStr">
        <is>
          <t>RepliBench</t>
        </is>
      </c>
      <c r="D33" s="2" t="inlineStr">
        <is>
          <t>AI agent security</t>
        </is>
      </c>
      <c r="E33" s="2" t="inlineStr">
        <is>
          <t>component-to-system bottleneck trajectory</t>
        </is>
      </c>
      <c r="F33" s="2" t="inlineStr">
        <is>
          <t>Agents can perform some cloud/coding/security tasks relevant to self-replication.</t>
        </is>
      </c>
      <c r="G33" s="2" t="inlineStr">
        <is>
          <t>Evaluate the full set of replication prerequisites rather than isolated tasks.</t>
        </is>
      </c>
      <c r="H33" s="2" t="inlineStr">
        <is>
          <t>agent; cloud provider; KYC; weights; compute; persistence mechanisms</t>
        </is>
      </c>
      <c r="I33" s="2" t="inlineStr">
        <is>
          <t>agent-infrastructure interfaces</t>
        </is>
      </c>
      <c r="J33" s="2" t="inlineStr">
        <is>
          <t>credentials, resources, weights, deployment commands</t>
        </is>
      </c>
      <c r="K33" s="2" t="inlineStr">
        <is>
          <t>component tasks succeed -&gt; external constraints encountered -&gt; KYC/persistence failures -&gt; no credible end-to-end replication</t>
        </is>
      </c>
      <c r="L33" s="2" t="inlineStr">
        <is>
          <t>High component pass rates fail to yield end-to-end capability.</t>
        </is>
      </c>
      <c r="M33" s="2" t="inlineStr">
        <is>
          <t>Tool/cloud access.</t>
        </is>
      </c>
      <c r="N33" s="2" t="inlineStr">
        <is>
          <t>KYC, security controls, persistence complexity.</t>
        </is>
      </c>
      <c r="O33" s="2" t="inlineStr">
        <is>
          <t>Task-family results.</t>
        </is>
      </c>
      <c r="P33" s="2" t="inlineStr">
        <is>
          <t>Bottlenecks localized to specific interfaces.</t>
        </is>
      </c>
      <c r="Q33" s="2" t="inlineStr">
        <is>
          <t>Threat decomposition across full chain.</t>
        </is>
      </c>
      <c r="R33" s="2" t="inlineStr">
        <is>
          <t>Buffers end-to-end risk despite component capability.</t>
        </is>
      </c>
      <c r="S33" s="2" t="inlineStr">
        <is>
          <t>Controls can be strengthened/weakened</t>
        </is>
      </c>
      <c r="T33" s="2" t="inlineStr">
        <is>
          <t>N/A</t>
        </is>
      </c>
      <c r="U33" s="2" t="inlineStr">
        <is>
          <t>Yes in environment</t>
        </is>
      </c>
      <c r="V33" s="2" t="inlineStr">
        <is>
          <t>Yes</t>
        </is>
      </c>
      <c r="W33" s="2" t="inlineStr">
        <is>
          <t>Agent retries; persistent learning not central</t>
        </is>
      </c>
      <c r="X33" s="2" t="inlineStr">
        <is>
          <t>Partial</t>
        </is>
      </c>
      <c r="Y33" s="2" t="inlineStr">
        <is>
          <t>within-episode</t>
        </is>
      </c>
      <c r="Z33" s="2" t="inlineStr">
        <is>
          <t>No current credible self-replication despite many successful components.</t>
        </is>
      </c>
      <c r="AA33" s="2" t="inlineStr">
        <is>
          <t>external identity controls; resource permissions; persistence; end-to-end composition</t>
        </is>
      </c>
      <c r="AB33" s="2" t="inlineStr">
        <is>
          <t>No</t>
        </is>
      </c>
      <c r="AC33" s="2" t="inlineStr">
        <is>
          <t>None</t>
        </is>
      </c>
      <c r="AD33" s="2" t="inlineStr">
        <is>
          <t>System-level conclusion differs sharply from component-level scores.</t>
        </is>
      </c>
      <c r="AE33" s="2" t="inlineStr">
        <is>
          <t>Agent benchmark</t>
        </is>
      </c>
      <c r="AF33" s="2" t="inlineStr">
        <is>
          <t>https://arxiv.org/abs/2504.18565</t>
        </is>
      </c>
      <c r="AG33" s="2" t="inlineStr">
        <is>
          <t>https://arxiv.org/pdf/2504.18565</t>
        </is>
      </c>
      <c r="AH33" s="2" t="inlineStr">
        <is>
          <t>Excellent analogue for AI-bio component vs workflow risk.</t>
        </is>
      </c>
    </row>
    <row r="34">
      <c r="A34" s="2" t="inlineStr">
        <is>
          <t>T33</t>
        </is>
      </c>
      <c r="B34" s="2" t="inlineStr">
        <is>
          <t>PaperBench real-study execution exposes gap between plausible plans and replicated research</t>
        </is>
      </c>
      <c r="C34" s="2" t="inlineStr">
        <is>
          <t>PaperBench</t>
        </is>
      </c>
      <c r="D34" s="2" t="inlineStr">
        <is>
          <t>AI scientific autonomy</t>
        </is>
      </c>
      <c r="E34" s="2" t="inlineStr">
        <is>
          <t>long-horizon execution trajectory</t>
        </is>
      </c>
      <c r="F34" s="2" t="inlineStr">
        <is>
          <t>LLMs can summarize papers and write code snippets convincingly.</t>
        </is>
      </c>
      <c r="G34" s="2" t="inlineStr">
        <is>
          <t>Require end-to-end replication of 20 real ICML papers.</t>
        </is>
      </c>
      <c r="H34" s="2" t="inlineStr">
        <is>
          <t>agent; paper; codebase; compute; experiments; judge</t>
        </is>
      </c>
      <c r="I34" s="2" t="inlineStr">
        <is>
          <t>agent-research-artifact-execution chain</t>
        </is>
      </c>
      <c r="J34" s="2" t="inlineStr">
        <is>
          <t>paper content, code, experiment results, rubric feedback</t>
        </is>
      </c>
      <c r="K34" s="2" t="inlineStr">
        <is>
          <t>understand -&gt; implement -&gt; run -&gt; debug -&gt; reproduce -&gt; grade</t>
        </is>
      </c>
      <c r="L34" s="2" t="inlineStr">
        <is>
          <t>Agents obtain partial progress but fail many later-stage execution details.</t>
        </is>
      </c>
      <c r="M34" s="2" t="inlineStr">
        <is>
          <t>Scaffolding and decomposition.</t>
        </is>
      </c>
      <c r="N34" s="2" t="inlineStr">
        <is>
          <t>Execution complexity, debugging, environment management.</t>
        </is>
      </c>
      <c r="O34" s="2" t="inlineStr">
        <is>
          <t>Hierarchical rubric.</t>
        </is>
      </c>
      <c r="P34" s="2" t="inlineStr">
        <is>
          <t>Stage-level scoring.</t>
        </is>
      </c>
      <c r="Q34" s="2" t="inlineStr">
        <is>
          <t>Realistic long-horizon task requirement.</t>
        </is>
      </c>
      <c r="R34" s="2" t="inlineStr">
        <is>
          <t>Limits inference from conceptual fluency to autonomous research.</t>
        </is>
      </c>
      <c r="S34" s="2" t="inlineStr">
        <is>
          <t>N/A</t>
        </is>
      </c>
      <c r="T34" s="2" t="inlineStr">
        <is>
          <t>Limited through agent retries</t>
        </is>
      </c>
      <c r="U34" s="2" t="inlineStr">
        <is>
          <t>Yes</t>
        </is>
      </c>
      <c r="V34" s="2" t="inlineStr">
        <is>
          <t>Partly</t>
        </is>
      </c>
      <c r="W34" s="2" t="inlineStr">
        <is>
          <t>Within episode</t>
        </is>
      </c>
      <c r="X34" s="2" t="inlineStr">
        <is>
          <t>Partial</t>
        </is>
      </c>
      <c r="Y34" s="2" t="inlineStr">
        <is>
          <t>within-trajectory</t>
        </is>
      </c>
      <c r="Z34" s="2" t="inlineStr">
        <is>
          <t>Best agent ~21%, below human baseline.</t>
        </is>
      </c>
      <c r="AA34" s="2" t="inlineStr">
        <is>
          <t>tool execution; debugging; environment; artifact provenance; long-horizon memory</t>
        </is>
      </c>
      <c r="AB34" s="2" t="inlineStr">
        <is>
          <t>No</t>
        </is>
      </c>
      <c r="AC34" s="2" t="inlineStr">
        <is>
          <t>None</t>
        </is>
      </c>
      <c r="AD34" s="2" t="inlineStr">
        <is>
          <t>Adding execution and full research lifecycle sharply lowers apparent capability.</t>
        </is>
      </c>
      <c r="AE34" s="2" t="inlineStr">
        <is>
          <t>Real-task agent benchmark</t>
        </is>
      </c>
      <c r="AF34" s="2" t="inlineStr">
        <is>
          <t>https://openai.com/index/paperbench/</t>
        </is>
      </c>
      <c r="AG34" s="2" t="inlineStr">
        <is>
          <t>https://arxiv.org/pdf/2504.01848</t>
        </is>
      </c>
      <c r="AH34" s="2" t="inlineStr">
        <is>
          <t>Strong negative result.</t>
        </is>
      </c>
    </row>
    <row r="35">
      <c r="A35" s="2" t="inlineStr">
        <is>
          <t>T34</t>
        </is>
      </c>
      <c r="B35" s="2" t="inlineStr">
        <is>
          <t>PUC manipulation monitor fails when source context is removed</t>
        </is>
      </c>
      <c r="C35" s="2" t="inlineStr">
        <is>
          <t>AI Persuasion as a Threat to Human Control</t>
        </is>
      </c>
      <c r="D35" s="2" t="inlineStr">
        <is>
          <t>AI control / monitoring</t>
        </is>
      </c>
      <c r="E35" s="2" t="inlineStr">
        <is>
          <t>context-loss / monitoring failure</t>
        </is>
      </c>
      <c r="F35" s="2" t="inlineStr">
        <is>
          <t>Judge can compare persuasive claims against source material/known answers.</t>
        </is>
      </c>
      <c r="G35" s="2" t="inlineStr">
        <is>
          <t>Remove answer/source context from manipulation judge.</t>
        </is>
      </c>
      <c r="H35" s="2" t="inlineStr">
        <is>
          <t>actor LLM; judge LLM; source material; decision question</t>
        </is>
      </c>
      <c r="I35" s="2" t="inlineStr">
        <is>
          <t>evidence -&gt; monitor interpretation</t>
        </is>
      </c>
      <c r="J35" s="2" t="inlineStr">
        <is>
          <t>claims without supporting provenance/context</t>
        </is>
      </c>
      <c r="K35" s="2" t="inlineStr">
        <is>
          <t>misaligned actor message -&gt; monitor with context detects manipulation -&gt; context removed -&gt; discrimination degrades/misranks</t>
        </is>
      </c>
      <c r="L35" s="2" t="inlineStr">
        <is>
          <t>Fully blind judge struggles and may rate aligned actor as more manipulative.</t>
        </is>
      </c>
      <c r="M35" s="2" t="inlineStr">
        <is>
          <t>Plausible rhetoric without verifiable evidence.</t>
        </is>
      </c>
      <c r="N35" s="2" t="inlineStr">
        <is>
          <t>Access to source material / ground truth.</t>
        </is>
      </c>
      <c r="O35" s="2" t="inlineStr">
        <is>
          <t>Manipulation score comparison across context conditions.</t>
        </is>
      </c>
      <c r="P35" s="2" t="inlineStr">
        <is>
          <t>Direct to information removal within synthetic setup.</t>
        </is>
      </c>
      <c r="Q35" s="2" t="inlineStr">
        <is>
          <t>Context ablation.</t>
        </is>
      </c>
      <c r="R35" s="2" t="inlineStr">
        <is>
          <t>Shows observability depends on preserving interpretive context.</t>
        </is>
      </c>
      <c r="S35" s="2" t="inlineStr">
        <is>
          <t>Yes by restoring source access</t>
        </is>
      </c>
      <c r="T35" s="2" t="inlineStr">
        <is>
          <t>Monitor performance improves with context</t>
        </is>
      </c>
      <c r="U35" s="2" t="inlineStr">
        <is>
          <t>Yes to evaluator</t>
        </is>
      </c>
      <c r="V35" s="2" t="inlineStr">
        <is>
          <t>Only when evidence/source available</t>
        </is>
      </c>
      <c r="W35" s="2" t="inlineStr">
        <is>
          <t>Not tested as persistent learning</t>
        </is>
      </c>
      <c r="X35" s="2" t="inlineStr">
        <is>
          <t>N/A</t>
        </is>
      </c>
      <c r="Y35" s="2" t="inlineStr">
        <is>
          <t>evaluation</t>
        </is>
      </c>
      <c r="Z35" s="2" t="inlineStr">
        <is>
          <t>Context loss degrades monitoring.</t>
        </is>
      </c>
      <c r="AA35" s="2" t="inlineStr">
        <is>
          <t>provenance; source access; ground-truth visibility; monitor context</t>
        </is>
      </c>
      <c r="AB35" s="2" t="inlineStr">
        <is>
          <t>No</t>
        </is>
      </c>
      <c r="AC35" s="2" t="inlineStr">
        <is>
          <t>None</t>
        </is>
      </c>
      <c r="AD35" s="2" t="inlineStr">
        <is>
          <t>Monitor-only evaluation without source relationship gives different result.</t>
        </is>
      </c>
      <c r="AE35" s="2" t="inlineStr">
        <is>
          <t>Preliminary controlled LLM evaluation</t>
        </is>
      </c>
      <c r="AF35" s="2" t="inlineStr">
        <is>
          <t>https://arxiv.org/abs/2609.14796</t>
        </is>
      </c>
      <c r="AG35" s="2" t="inlineStr">
        <is>
          <t>https://arxiv.org/pdf/2609.14796</t>
        </is>
      </c>
      <c r="AH35" s="2" t="inlineStr">
        <is>
          <t>Directly supports context-as-security-variable hypothesis.</t>
        </is>
      </c>
    </row>
    <row r="36">
      <c r="A36" s="2" t="inlineStr">
        <is>
          <t>T35</t>
        </is>
      </c>
      <c r="B36" s="2" t="inlineStr">
        <is>
          <t>Anthropic preliminary wet-lab pilot finds no uplift because control participants already succeed</t>
        </is>
      </c>
      <c r="C36" s="2" t="inlineStr">
        <is>
          <t>Anthropic LLMs and biorisk retrospective</t>
        </is>
      </c>
      <c r="D36" s="2" t="inlineStr">
        <is>
          <t>AI-bio human uplift</t>
        </is>
      </c>
      <c r="E36" s="2" t="inlineStr">
        <is>
          <t>negative pilot / baseline sensitivity</t>
        </is>
      </c>
      <c r="F36" s="2" t="inlineStr">
        <is>
          <t>Tacit knowledge hypothesized to block novices from performing lab tasks without AI.</t>
        </is>
      </c>
      <c r="G36" s="2" t="inlineStr">
        <is>
          <t>Give a very small novice group AI vs internet-only access for basic lab protocols.</t>
        </is>
      </c>
      <c r="H36" s="2" t="inlineStr">
        <is>
          <t>novice; Claude; internet; lab tasks</t>
        </is>
      </c>
      <c r="I36" s="2" t="inlineStr">
        <is>
          <t>human-information resource during physical work</t>
        </is>
      </c>
      <c r="J36" s="2" t="inlineStr">
        <is>
          <t>instructions, questions, physical observations</t>
        </is>
      </c>
      <c r="K36" s="2" t="inlineStr">
        <is>
          <t>assign resource condition -&gt; novices perform basic tasks -&gt; both groups do well -&gt; no observed uplift -&gt; bottleneck hypothesis revised</t>
        </is>
      </c>
      <c r="L36" s="2" t="inlineStr">
        <is>
          <t>Control performance unexpectedly high.</t>
        </is>
      </c>
      <c r="M36" s="2" t="inlineStr">
        <is>
          <t>Basic task simplicity.</t>
        </is>
      </c>
      <c r="N36" s="2" t="inlineStr">
        <is>
          <t>Internet resources and task accessibility.</t>
        </is>
      </c>
      <c r="O36" s="2" t="inlineStr">
        <is>
          <t>Observed task success.</t>
        </is>
      </c>
      <c r="P36" s="2" t="inlineStr">
        <is>
          <t>Small sample prevents strong causal inference.</t>
        </is>
      </c>
      <c r="Q36" s="2" t="inlineStr">
        <is>
          <t>AI access.</t>
        </is>
      </c>
      <c r="R36" s="2" t="inlineStr">
        <is>
          <t>Revises assumption that tacit knowledge is necessarily dominant barrier.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Yes</t>
        </is>
      </c>
      <c r="V36" s="2" t="inlineStr">
        <is>
          <t>Yes</t>
        </is>
      </c>
      <c r="W36" s="2" t="inlineStr">
        <is>
          <t>Research-program update</t>
        </is>
      </c>
      <c r="X36" s="2" t="inlineStr">
        <is>
          <t>Yes: motivated larger RCT</t>
        </is>
      </c>
      <c r="Y36" s="2" t="inlineStr">
        <is>
          <t>research-program</t>
        </is>
      </c>
      <c r="Z36" s="2" t="inlineStr">
        <is>
          <t>Null/uncertain uplift in n=8 pilot.</t>
        </is>
      </c>
      <c r="AA36" s="2" t="inlineStr">
        <is>
          <t>baseline choice; task difficulty; tacit knowledge; sample size</t>
        </is>
      </c>
      <c r="AB36" s="2" t="inlineStr">
        <is>
          <t>Yes</t>
        </is>
      </c>
      <c r="AC36" s="2" t="inlineStr">
        <is>
          <t>Core</t>
        </is>
      </c>
      <c r="AD36" s="2" t="inlineStr">
        <is>
          <t>Physical baseline behavior challenged prior threat assumptions.</t>
        </is>
      </c>
      <c r="AE36" s="2" t="inlineStr">
        <is>
          <t>Small exploratory physical study</t>
        </is>
      </c>
      <c r="AF36" s="2" t="inlineStr">
        <is>
          <t>https://www.anthropic.com/research/biorisk</t>
        </is>
      </c>
      <c r="AG36" s="2" t="inlineStr">
        <is>
          <t>https://www.anthropic.com/research/biorisk</t>
        </is>
      </c>
      <c r="AH36" s="2" t="inlineStr">
        <is>
          <t>Shows baseline selection is itself consequential.</t>
        </is>
      </c>
    </row>
    <row r="37">
      <c r="A37" s="2" t="inlineStr">
        <is>
          <t>T36</t>
        </is>
      </c>
      <c r="B37" s="2" t="inlineStr">
        <is>
          <t>Text-based Claude uplift improves plans while critical real-world execution gaps remain</t>
        </is>
      </c>
      <c r="C37" s="2" t="inlineStr">
        <is>
          <t>Anthropic biorisk uplift trials</t>
        </is>
      </c>
      <c r="D37" s="2" t="inlineStr">
        <is>
          <t>AI-bio human uplift</t>
        </is>
      </c>
      <c r="E37" s="2" t="inlineStr">
        <is>
          <t>upstream uplift / downstream uncertainty</t>
        </is>
      </c>
      <c r="F37" s="2" t="inlineStr">
        <is>
          <t>Novices or experts develop biological acquisition plans with internet resources.</t>
        </is>
      </c>
      <c r="G37" s="2" t="inlineStr">
        <is>
          <t>Provide Claude access.</t>
        </is>
      </c>
      <c r="H37" s="2" t="inlineStr">
        <is>
          <t>human; Claude; text resources; biodefense graders</t>
        </is>
      </c>
      <c r="I37" s="2" t="inlineStr">
        <is>
          <t>human-AI planning interface</t>
        </is>
      </c>
      <c r="J37" s="2" t="inlineStr">
        <is>
          <t>questions, plans, model guidance, grader judgments</t>
        </is>
      </c>
      <c r="K37" s="2" t="inlineStr">
        <is>
          <t>AI access -&gt; improved written plans/fewer critical errors -&gt; no physical execution -&gt; residual critical failures remain</t>
        </is>
      </c>
      <c r="L37" s="2" t="inlineStr">
        <is>
          <t>Strong text uplift does not establish successful acquisition.</t>
        </is>
      </c>
      <c r="M37" s="2" t="inlineStr">
        <is>
          <t>Interactive planning support.</t>
        </is>
      </c>
      <c r="N37" s="2" t="inlineStr">
        <is>
          <t>Critical missing steps; physical/tacit/material barriers.</t>
        </is>
      </c>
      <c r="O37" s="2" t="inlineStr">
        <is>
          <t>Expert plan grading.</t>
        </is>
      </c>
      <c r="P37" s="2" t="inlineStr">
        <is>
          <t>Access-condition comparison.</t>
        </is>
      </c>
      <c r="Q37" s="2" t="inlineStr">
        <is>
          <t>Claude access.</t>
        </is>
      </c>
      <c r="R37" s="2" t="inlineStr">
        <is>
          <t>Raises upstream capability estimate while leaving downstream feasibility unresolved.</t>
        </is>
      </c>
      <c r="S37" s="2" t="inlineStr">
        <is>
          <t>N/A</t>
        </is>
      </c>
      <c r="T37" s="2" t="inlineStr">
        <is>
          <t>N/A</t>
        </is>
      </c>
      <c r="U37" s="2" t="inlineStr">
        <is>
          <t>Yes from interaction</t>
        </is>
      </c>
      <c r="V37" s="2" t="inlineStr">
        <is>
          <t>Yes for plan quality</t>
        </is>
      </c>
      <c r="W37" s="2" t="inlineStr">
        <is>
          <t>Human can revise plan</t>
        </is>
      </c>
      <c r="X37" s="2" t="inlineStr">
        <is>
          <t>Yes in plan quality</t>
        </is>
      </c>
      <c r="Y37" s="2" t="inlineStr">
        <is>
          <t>human/workflow</t>
        </is>
      </c>
      <c r="Z37" s="2" t="inlineStr">
        <is>
          <t>Meaningful text-planning uplift below internal threshold; real-world success untested.</t>
        </is>
      </c>
      <c r="AA37" s="2" t="inlineStr">
        <is>
          <t>planning vs execution boundary; expert grading; critical failure count</t>
        </is>
      </c>
      <c r="AB37" s="2" t="inlineStr">
        <is>
          <t>No</t>
        </is>
      </c>
      <c r="AC37" s="2" t="inlineStr">
        <is>
          <t>None</t>
        </is>
      </c>
      <c r="AD37" s="2" t="inlineStr">
        <is>
          <t>Security implication depends on downstream physical/material relationships excluded from study.</t>
        </is>
      </c>
      <c r="AE37" s="2" t="inlineStr">
        <is>
          <t>Human text uplift trial</t>
        </is>
      </c>
      <c r="AF37" s="2" t="inlineStr">
        <is>
          <t>https://www.anthropic.com/research/biorisk</t>
        </is>
      </c>
      <c r="AG37" s="2" t="inlineStr">
        <is>
          <t>https://www.anthropic.com/research/biorisk</t>
        </is>
      </c>
      <c r="AH37" s="2" t="inlineStr">
        <is>
          <t>Pairs with T28/T35 to show digital-physical gap.</t>
        </is>
      </c>
    </row>
    <row r="38">
      <c r="A38" s="2" t="inlineStr">
        <is>
          <t>T37</t>
        </is>
      </c>
      <c r="B38" s="2" t="inlineStr">
        <is>
          <t>Human review corrects agentic environmental-health analysis at multiple steps</t>
        </is>
      </c>
      <c r="C38" s="2" t="inlineStr">
        <is>
          <t>Agentic AI for Reproducible Human-in-the-Loop Environmental Health Research</t>
        </is>
      </c>
      <c r="D38" s="2" t="inlineStr">
        <is>
          <t>human-AI scientific workflow</t>
        </is>
      </c>
      <c r="E38" s="2" t="inlineStr">
        <is>
          <t>human buffering / correction</t>
        </is>
      </c>
      <c r="F38" s="2" t="inlineStr">
        <is>
          <t>Agent generates analytical code/results that may contain weaknesses.</t>
        </is>
      </c>
      <c r="G38" s="2" t="inlineStr">
        <is>
          <t>Insert expert review, verification, and correction after each analytical step.</t>
        </is>
      </c>
      <c r="H38" s="2" t="inlineStr">
        <is>
          <t>AI agent; researcher; R code; data; results</t>
        </is>
      </c>
      <c r="I38" s="2" t="inlineStr">
        <is>
          <t>AI-to-human handoff</t>
        </is>
      </c>
      <c r="J38" s="2" t="inlineStr">
        <is>
          <t>code, assumptions, results, corrections</t>
        </is>
      </c>
      <c r="K38" s="2" t="inlineStr">
        <is>
          <t>agent output -&gt; human review -&gt; correction -&gt; re-run -&gt; more rigorous/reproducible result</t>
        </is>
      </c>
      <c r="L38" s="2" t="inlineStr">
        <is>
          <t>Initial outputs require human intervention.</t>
        </is>
      </c>
      <c r="M38" s="2" t="inlineStr">
        <is>
          <t>Unchecked agent outputs.</t>
        </is>
      </c>
      <c r="N38" s="2" t="inlineStr">
        <is>
          <t>Domain expertise and coding literacy.</t>
        </is>
      </c>
      <c r="O38" s="2" t="inlineStr">
        <is>
          <t>Human inspection.</t>
        </is>
      </c>
      <c r="P38" s="2" t="inlineStr">
        <is>
          <t>Errors localized to agent outputs/choices.</t>
        </is>
      </c>
      <c r="Q38" s="2" t="inlineStr">
        <is>
          <t>Human correction loop.</t>
        </is>
      </c>
      <c r="R38" s="2" t="inlineStr">
        <is>
          <t>Corrected/recovered</t>
        </is>
      </c>
      <c r="S38" s="2" t="inlineStr">
        <is>
          <t>High</t>
        </is>
      </c>
      <c r="T38" s="2" t="inlineStr">
        <is>
          <t>Yes</t>
        </is>
      </c>
      <c r="U38" s="2" t="inlineStr">
        <is>
          <t>Yes at each stage</t>
        </is>
      </c>
      <c r="V38" s="2" t="inlineStr">
        <is>
          <t>High with expert knowledge</t>
        </is>
      </c>
      <c r="W38" s="2" t="inlineStr">
        <is>
          <t>Yes in workflow</t>
        </is>
      </c>
      <c r="X38" s="2" t="inlineStr">
        <is>
          <t>Yes</t>
        </is>
      </c>
      <c r="Y38" s="2" t="inlineStr">
        <is>
          <t>workflow-level correction</t>
        </is>
      </c>
      <c r="Z38" s="2" t="inlineStr">
        <is>
          <t>Improved rigor and reproducibility.</t>
        </is>
      </c>
      <c r="AA38" s="2" t="inlineStr">
        <is>
          <t>expertise; review cadence; traceability; code literacy</t>
        </is>
      </c>
      <c r="AB38" s="2" t="inlineStr">
        <is>
          <t>No</t>
        </is>
      </c>
      <c r="AC38" s="2" t="inlineStr">
        <is>
          <t>None</t>
        </is>
      </c>
      <c r="AD38" s="2" t="inlineStr">
        <is>
          <t>Human oversight changes the final artifact and reliability conclusion.</t>
        </is>
      </c>
      <c r="AE38" s="2" t="inlineStr">
        <is>
          <t>Real-domain case study</t>
        </is>
      </c>
      <c r="AF38" s="2" t="inlineStr">
        <is>
          <t>https://arxiv.org/abs/2608.06771</t>
        </is>
      </c>
      <c r="AG38" s="2" t="inlineStr">
        <is>
          <t>https://arxiv.org/pdf/2608.06771</t>
        </is>
      </c>
      <c r="AH38" s="2" t="inlineStr">
        <is>
          <t>Useful relational resilience example.</t>
        </is>
      </c>
    </row>
    <row r="39">
      <c r="A39" s="2" t="inlineStr">
        <is>
          <t>T38</t>
        </is>
      </c>
      <c r="B39" s="2" t="inlineStr">
        <is>
          <t>Expert consolidation corrects LLM severity inflation in functional hazard assessment</t>
        </is>
      </c>
      <c r="C39" s="2" t="inlineStr">
        <is>
          <t>Human-in-the-loop LLMs for Functional Hazard Assessment</t>
        </is>
      </c>
      <c r="D39" s="2" t="inlineStr">
        <is>
          <t>systems safety</t>
        </is>
      </c>
      <c r="E39" s="2" t="inlineStr">
        <is>
          <t>human buffering / safety-analysis correction</t>
        </is>
      </c>
      <c r="F39" s="2" t="inlineStr">
        <is>
          <t>RAG+LLM generates structured safety-assessment draft.</t>
        </is>
      </c>
      <c r="G39" s="2" t="inlineStr">
        <is>
          <t>Compare and review against expert FHA.</t>
        </is>
      </c>
      <c r="H39" s="2" t="inlineStr">
        <is>
          <t>RAG; LLM; safety engineer; system documentation; FHA artifact</t>
        </is>
      </c>
      <c r="I39" s="2" t="inlineStr">
        <is>
          <t>AI-generated hazard analysis -&gt; expert decision</t>
        </is>
      </c>
      <c r="J39" s="2" t="inlineStr">
        <is>
          <t>functions, hazards, severity classifications, citations</t>
        </is>
      </c>
      <c r="K39" s="2" t="inlineStr">
        <is>
          <t>LLM draft -&gt; high recall but severity inflation/reduced diversity -&gt; expert consolidation -&gt; restored severity logic</t>
        </is>
      </c>
      <c r="L39" s="2" t="inlineStr">
        <is>
          <t>Generated hazard/severity profile differs from expert logic.</t>
        </is>
      </c>
      <c r="M39" s="2" t="inlineStr">
        <is>
          <t>Model tendency toward fine-grained hazards/inflated severity.</t>
        </is>
      </c>
      <c r="N39" s="2" t="inlineStr">
        <is>
          <t>Expert scope control and consolidation.</t>
        </is>
      </c>
      <c r="O39" s="2" t="inlineStr">
        <is>
          <t>Comparison to expert assessment.</t>
        </is>
      </c>
      <c r="P39" s="2" t="inlineStr">
        <is>
          <t>Specific differences identified.</t>
        </is>
      </c>
      <c r="Q39" s="2" t="inlineStr">
        <is>
          <t>Expert review.</t>
        </is>
      </c>
      <c r="R39" s="2" t="inlineStr">
        <is>
          <t>Corrected/recovered</t>
        </is>
      </c>
      <c r="S39" s="2" t="inlineStr">
        <is>
          <t>High</t>
        </is>
      </c>
      <c r="T39" s="2" t="inlineStr">
        <is>
          <t>Yes</t>
        </is>
      </c>
      <c r="U39" s="2" t="inlineStr">
        <is>
          <t>Yes</t>
        </is>
      </c>
      <c r="V39" s="2" t="inlineStr">
        <is>
          <t>Yes to expert</t>
        </is>
      </c>
      <c r="W39" s="2" t="inlineStr">
        <is>
          <t>Workflow can revise output</t>
        </is>
      </c>
      <c r="X39" s="2" t="inlineStr">
        <is>
          <t>Yes</t>
        </is>
      </c>
      <c r="Y39" s="2" t="inlineStr">
        <is>
          <t>workflow-level correction</t>
        </is>
      </c>
      <c r="Z39" s="2" t="inlineStr">
        <is>
          <t>Faster structured drafting with expert-restored safety logic.</t>
        </is>
      </c>
      <c r="AA39" s="2" t="inlineStr">
        <is>
          <t>RAG grounding; schema guardrails; expert authority; review timing</t>
        </is>
      </c>
      <c r="AB39" s="2" t="inlineStr">
        <is>
          <t>No</t>
        </is>
      </c>
      <c r="AC39" s="2" t="inlineStr">
        <is>
          <t>None</t>
        </is>
      </c>
      <c r="AD39" s="2" t="inlineStr">
        <is>
          <t>AI-only and human+AI conclusions differ.</t>
        </is>
      </c>
      <c r="AE39" s="2" t="inlineStr">
        <is>
          <t>Controlled case study</t>
        </is>
      </c>
      <c r="AF39" s="2" t="inlineStr">
        <is>
          <t>https://doi.org/10.1016/j.rineng.2026.111313</t>
        </is>
      </c>
      <c r="AG39" s="2" t="inlineStr">
        <is>
          <t>https://www.sciencedirect.com/science/article/pii/S2590123026023418</t>
        </is>
      </c>
      <c r="AH39" s="2" t="inlineStr">
        <is>
          <t>Adjacent but analytically valuable.</t>
        </is>
      </c>
    </row>
    <row r="40">
      <c r="A40" s="2" t="inlineStr">
        <is>
          <t>T39</t>
        </is>
      </c>
      <c r="B40" s="2" t="inlineStr">
        <is>
          <t>Agent closes a real physical control loop at a synchrotron beamline</t>
        </is>
      </c>
      <c r="C40" s="2" t="inlineStr">
        <is>
          <t>An agentic artificially intelligent X-ray scientist</t>
        </is>
      </c>
      <c r="D40" s="2" t="inlineStr">
        <is>
          <t>autonomous science</t>
        </is>
      </c>
      <c r="E40" s="2" t="inlineStr">
        <is>
          <t>closed-loop physical adaptation</t>
        </is>
      </c>
      <c r="F40" s="2" t="inlineStr">
        <is>
          <t>Sample alignment requires iterative instrument actions and observation interpretation.</t>
        </is>
      </c>
      <c r="G40" s="2" t="inlineStr">
        <is>
          <t>Give LLM agent instrument control and access to observations.</t>
        </is>
      </c>
      <c r="H40" s="2" t="inlineStr">
        <is>
          <t>LLM agent; beamline; instrument controls; sensors; sample</t>
        </is>
      </c>
      <c r="I40" s="2" t="inlineStr">
        <is>
          <t>agent-instrument-feedback loop</t>
        </is>
      </c>
      <c r="J40" s="2" t="inlineStr">
        <is>
          <t>commands, measurements, interpreted state</t>
        </is>
      </c>
      <c r="K40" s="2" t="inlineStr">
        <is>
          <t>plan -&gt; execute command -&gt; observe -&gt; interpret -&gt; update -&gt; repeat -&gt; alignment</t>
        </is>
      </c>
      <c r="L40" s="2" t="inlineStr">
        <is>
          <t>Physical observations force plan updates.</t>
        </is>
      </c>
      <c r="M40" s="2" t="inlineStr">
        <is>
          <t>Direct tool authority enables action.</t>
        </is>
      </c>
      <c r="N40" s="2" t="inlineStr">
        <is>
          <t>Instrument constraints and observed feedback.</t>
        </is>
      </c>
      <c r="O40" s="2" t="inlineStr">
        <is>
          <t>Physical sensor data.</t>
        </is>
      </c>
      <c r="P40" s="2" t="inlineStr">
        <is>
          <t>Actions logged to agent/instrument.</t>
        </is>
      </c>
      <c r="Q40" s="2" t="inlineStr">
        <is>
          <t>Iterative agent updates.</t>
        </is>
      </c>
      <c r="R40" s="2" t="inlineStr">
        <is>
          <t>Iterative improvement</t>
        </is>
      </c>
      <c r="S40" s="2" t="inlineStr">
        <is>
          <t>Generally yes within alignment task</t>
        </is>
      </c>
      <c r="T40" s="2" t="inlineStr">
        <is>
          <t>Yes through closed-loop correction</t>
        </is>
      </c>
      <c r="U40" s="2" t="inlineStr">
        <is>
          <t>Yes continuously</t>
        </is>
      </c>
      <c r="V40" s="2" t="inlineStr">
        <is>
          <t>Yes enough to drive adaptation</t>
        </is>
      </c>
      <c r="W40" s="2" t="inlineStr">
        <is>
          <t>Yes within loop</t>
        </is>
      </c>
      <c r="X40" s="2" t="inlineStr">
        <is>
          <t>Yes</t>
        </is>
      </c>
      <c r="Y40" s="2" t="inlineStr">
        <is>
          <t>within-trajectory adaptation</t>
        </is>
      </c>
      <c r="Z40" s="2" t="inlineStr">
        <is>
          <t>Successful autonomous physical alignment.</t>
        </is>
      </c>
      <c r="AA40" s="2" t="inlineStr">
        <is>
          <t>sensor quality; action authority; feedback latency; tool constraints</t>
        </is>
      </c>
      <c r="AB40" s="2" t="inlineStr">
        <is>
          <t>Yes</t>
        </is>
      </c>
      <c r="AC40" s="2" t="inlineStr">
        <is>
          <t>Core</t>
        </is>
      </c>
      <c r="AD40" s="2" t="inlineStr">
        <is>
          <t>Capability emerges only from the composed agent+instrument+feedback system.</t>
        </is>
      </c>
      <c r="AE40" s="2" t="inlineStr">
        <is>
          <t>Peer-reviewed physical demonstration</t>
        </is>
      </c>
      <c r="AF40" s="2" t="inlineStr">
        <is>
          <t>https://www.nature.com/articles/s42256-026-01261-5</t>
        </is>
      </c>
      <c r="AG40" s="2" t="inlineStr">
        <is>
          <t>https://www.nature.com/articles/s42256-026-01261-5</t>
        </is>
      </c>
      <c r="AH40" s="2" t="inlineStr">
        <is>
          <t>Positive counterexample: composition can create real physical capability.</t>
        </is>
      </c>
    </row>
    <row r="41">
      <c r="A41" s="2" t="inlineStr">
        <is>
          <t>T40</t>
        </is>
      </c>
      <c r="B41" s="2" t="inlineStr">
        <is>
          <t>XZ Utils backdoor exploits trust and fragmented review across a software supply chain</t>
        </is>
      </c>
      <c r="C41" s="2" t="inlineStr">
        <is>
          <t>CISA advisory / oss-security documentation</t>
        </is>
      </c>
      <c r="D41" s="2" t="inlineStr">
        <is>
          <t>cybersecurity comparator</t>
        </is>
      </c>
      <c r="E41" s="2" t="inlineStr">
        <is>
          <t>field incident / trust propagation</t>
        </is>
      </c>
      <c r="F41" s="2" t="inlineStr">
        <is>
          <t>Open-source project relies on maintainer trust and distributed review.</t>
        </is>
      </c>
      <c r="G41" s="2" t="inlineStr">
        <is>
          <t>Human attacker builds reputation, gains influence, and introduces obfuscated malicious changes.</t>
        </is>
      </c>
      <c r="H41" s="2" t="inlineStr">
        <is>
          <t>attacker; maintainer; contributors; build system; binary test artifacts; downstream Linux ecosystem</t>
        </is>
      </c>
      <c r="I41" s="2" t="inlineStr">
        <is>
          <t>social trust -&gt; code review -&gt; supply-chain distribution</t>
        </is>
      </c>
      <c r="J41" s="2" t="inlineStr">
        <is>
          <t>reputation signals, code changes, review judgments, packaged software</t>
        </is>
      </c>
      <c r="K41" s="2" t="inlineStr">
        <is>
          <t>trust building -&gt; maintainer access -&gt; distributed innocuous changes -&gt; hidden payload -&gt; downstream distribution -&gt; external detection</t>
        </is>
      </c>
      <c r="L41" s="2" t="inlineStr">
        <is>
          <t>Trust/review process accepts changes whose composed effect is malicious.</t>
        </is>
      </c>
      <c r="M41" s="2" t="inlineStr">
        <is>
          <t>Maintainer fatigue; fragmented commits; opaque binary artifacts; broad downstream distribution.</t>
        </is>
      </c>
      <c r="N41" s="2" t="inlineStr">
        <is>
          <t>Independent engineer notices abnormal SSH performance and investigates.</t>
        </is>
      </c>
      <c r="O41" s="2" t="inlineStr">
        <is>
          <t>External anomaly investigation.</t>
        </is>
      </c>
      <c r="P41" s="2" t="inlineStr">
        <is>
          <t>Forensic reconstruction.</t>
        </is>
      </c>
      <c r="Q41" s="2" t="inlineStr">
        <is>
          <t>Disclosure and package rollback.</t>
        </is>
      </c>
      <c r="R41" s="2" t="inlineStr">
        <is>
          <t>buffered/interrupted before wider exploitation</t>
        </is>
      </c>
      <c r="S41" s="2" t="inlineStr">
        <is>
          <t>High after detection for packages, though exposure existed</t>
        </is>
      </c>
      <c r="T41" s="2" t="inlineStr">
        <is>
          <t>Yes through patch/revert</t>
        </is>
      </c>
      <c r="U41" s="2" t="inlineStr">
        <is>
          <t>Yes but weak until anomaly investigated</t>
        </is>
      </c>
      <c r="V41" s="2" t="inlineStr">
        <is>
          <t>Initially low; becomes high through forensic work</t>
        </is>
      </c>
      <c r="W41" s="2" t="inlineStr">
        <is>
          <t>Yes organizational/ecosystem</t>
        </is>
      </c>
      <c r="X41" s="2" t="inlineStr">
        <is>
          <t>Yes: advisories and remediation</t>
        </is>
      </c>
      <c r="Y41" s="2" t="inlineStr">
        <is>
          <t>ecosystem</t>
        </is>
      </c>
      <c r="Z41" s="2" t="inlineStr">
        <is>
          <t>Backdoor discovered before broad catastrophic exploitation.</t>
        </is>
      </c>
      <c r="AA41" s="2" t="inlineStr">
        <is>
          <t>trust; maintainer load; provenance; code-review fragmentation; independent anomaly sensing</t>
        </is>
      </c>
      <c r="AB41" s="2" t="inlineStr">
        <is>
          <t>No</t>
        </is>
      </c>
      <c r="AC41" s="2" t="inlineStr">
        <is>
          <t>N/A</t>
        </is>
      </c>
      <c r="AD41" s="2" t="inlineStr">
        <is>
          <t>No single code change or actor-role view explains incident; risk emerges through social+technical relationships.</t>
        </is>
      </c>
      <c r="AE41" s="2" t="inlineStr">
        <is>
          <t>Documented field incident</t>
        </is>
      </c>
      <c r="AF41" s="2" t="inlineStr">
        <is>
          <t>https://www.cisa.gov/news-events/alerts/2024/03/29/reported-supply-chain-compromise-affecting-xz-utils-data-compression-library-cve-2024-3094</t>
        </is>
      </c>
      <c r="AG41" s="2" t="inlineStr">
        <is>
          <t>https://www.openwall.com/lists/oss-security/2024/03/29/4</t>
        </is>
      </c>
      <c r="AH41" s="2" t="inlineStr">
        <is>
          <t>Non-AI empirical comparator for relational security.</t>
        </is>
      </c>
    </row>
    <row r="42">
      <c r="A42" s="2" t="inlineStr">
        <is>
          <t>T41</t>
        </is>
      </c>
      <c r="B42" s="2" t="inlineStr">
        <is>
          <t>Target breach shows alerts can exist without producing effective organizational response</t>
        </is>
      </c>
      <c r="C42" s="2" t="inlineStr">
        <is>
          <t>U.S. Senate 2014 Target breach kill-chain analysis</t>
        </is>
      </c>
      <c r="D42" s="2" t="inlineStr">
        <is>
          <t>cybersecurity comparator</t>
        </is>
      </c>
      <c r="E42" s="2" t="inlineStr">
        <is>
          <t>field incident / feedback without response</t>
        </is>
      </c>
      <c r="F42" s="2" t="inlineStr">
        <is>
          <t>Security monitoring infrastructure generates alerts during intrusion.</t>
        </is>
      </c>
      <c r="G42" s="2" t="inlineStr">
        <is>
          <t>Attackers compromise systems and generate security alerts.</t>
        </is>
      </c>
      <c r="H42" s="2" t="inlineStr">
        <is>
          <t>attackers; monitoring tools; SOC analysts; organizational escalation process; payment network</t>
        </is>
      </c>
      <c r="I42" s="2" t="inlineStr">
        <is>
          <t>monitor -&gt; human analyst -&gt; incident response</t>
        </is>
      </c>
      <c r="J42" s="2" t="inlineStr">
        <is>
          <t>alerts, confidence, escalation decisions</t>
        </is>
      </c>
      <c r="K42" s="2" t="inlineStr">
        <is>
          <t>intrusion -&gt; monitoring alert -&gt; alert not effectively acted upon -&gt; persistence/exfiltration -&gt; breach discovered</t>
        </is>
      </c>
      <c r="L42" s="2" t="inlineStr">
        <is>
          <t>Detection signal does not translate into intervention.</t>
        </is>
      </c>
      <c r="M42" s="2" t="inlineStr">
        <is>
          <t>Alert volume/fatigue, fragmented responsibility, inadequate escalation.</t>
        </is>
      </c>
      <c r="N42" s="2" t="inlineStr">
        <is>
          <t>Technical monitoring detected parts of attack but organizational response failed.</t>
        </is>
      </c>
      <c r="O42" s="2" t="inlineStr">
        <is>
          <t>Automated alerts existed before full breach recognition.</t>
        </is>
      </c>
      <c r="P42" s="2" t="inlineStr">
        <is>
          <t>Post-incident analysis.</t>
        </is>
      </c>
      <c r="Q42" s="2" t="inlineStr">
        <is>
          <t>Delayed.</t>
        </is>
      </c>
      <c r="R42" s="2" t="inlineStr">
        <is>
          <t>feedback available but not converted into action</t>
        </is>
      </c>
      <c r="S42" s="2" t="inlineStr">
        <is>
          <t>Low once data exfiltrated</t>
        </is>
      </c>
      <c r="T42" s="2" t="inlineStr">
        <is>
          <t>Post-incident remediation only</t>
        </is>
      </c>
      <c r="U42" s="2" t="inlineStr">
        <is>
          <t>Yes</t>
        </is>
      </c>
      <c r="V42" s="2" t="inlineStr">
        <is>
          <t>Partly; signal existed but prioritization/context insufficient</t>
        </is>
      </c>
      <c r="W42" s="2" t="inlineStr">
        <is>
          <t>Organization had response capability</t>
        </is>
      </c>
      <c r="X42" s="2" t="inlineStr">
        <is>
          <t>Not in time to prevent harm</t>
        </is>
      </c>
      <c r="Y42" s="2" t="inlineStr">
        <is>
          <t>post-incident organizational</t>
        </is>
      </c>
      <c r="Z42" s="2" t="inlineStr">
        <is>
          <t>Large breach despite technical detection.</t>
        </is>
      </c>
      <c r="AA42" s="2" t="inlineStr">
        <is>
          <t>alert burden; authority; escalation; context; timing</t>
        </is>
      </c>
      <c r="AB42" s="2" t="inlineStr">
        <is>
          <t>No</t>
        </is>
      </c>
      <c r="AC42" s="2" t="inlineStr">
        <is>
          <t>N/A</t>
        </is>
      </c>
      <c r="AD42" s="2" t="inlineStr">
        <is>
          <t>Monitor performance alone would misleadingly imply functioning security; the human/organizational interface determines outcome.</t>
        </is>
      </c>
      <c r="AE42" s="2" t="inlineStr">
        <is>
          <t>Documented field incident</t>
        </is>
      </c>
      <c r="AF42" s="2" t="inlineStr">
        <is>
          <t>https://www.commerce.senate.gov/services/files/24d3c229-4f2f-405d-b8db-a3a67f183883</t>
        </is>
      </c>
      <c r="AG42" s="2" t="inlineStr">
        <is>
          <t>https://www.commerce.senate.gov/services/files/24d3c229-4f2f-405d-b8db-a3a67f183883</t>
        </is>
      </c>
      <c r="AH42" s="2" t="inlineStr">
        <is>
          <t>Strong analogue for feedback availability != effective control.</t>
        </is>
      </c>
    </row>
    <row r="43">
      <c r="A43" s="2" t="inlineStr">
        <is>
          <t>T42</t>
        </is>
      </c>
      <c r="B43" s="2" t="inlineStr">
        <is>
          <t>Uplift evidence diverges systematically between in-silico and wet-lab studies</t>
        </is>
      </c>
      <c r="C43" s="2" t="inlineStr">
        <is>
          <t>SecureBio Uplift Studies evidence synthesis</t>
        </is>
      </c>
      <c r="D43" s="2" t="inlineStr">
        <is>
          <t>AI-bio evidence synthesis</t>
        </is>
      </c>
      <c r="E43" s="2" t="inlineStr">
        <is>
          <t>cross-study validation trajectory</t>
        </is>
      </c>
      <c r="F43" s="2" t="inlineStr">
        <is>
          <t>Multiple studies estimate AI uplift using different task boundaries and endpoints.</t>
        </is>
      </c>
      <c r="G43" s="2" t="inlineStr">
        <is>
          <t>Compare evidence after grouping studies by in-silico vs physical wet-lab execution.</t>
        </is>
      </c>
      <c r="H43" s="2" t="inlineStr">
        <is>
          <t>benchmarks; human participants; AI models; internet controls; physical labs</t>
        </is>
      </c>
      <c r="I43" s="2" t="inlineStr">
        <is>
          <t>evaluation design -&gt; inferred risk</t>
        </is>
      </c>
      <c r="J43" s="2" t="inlineStr">
        <is>
          <t>task performance evidence into security conclusions</t>
        </is>
      </c>
      <c r="K43" s="2" t="inlineStr">
        <is>
          <t>digital studies often show minimal-to-substantial uplift -&gt; physical studies show no statistically significant primary-endpoint uplift -&gt; synthesis identifies measurement gap</t>
        </is>
      </c>
      <c r="L43" s="2" t="inlineStr">
        <is>
          <t>Effect sizes/conclusions vary with evaluation boundary.</t>
        </is>
      </c>
      <c r="M43" s="2" t="inlineStr">
        <is>
          <t>Digital tasks remove material/tacit barriers.</t>
        </is>
      </c>
      <c r="N43" s="2" t="inlineStr">
        <is>
          <t>Physical execution, skills, equipment, baseline resources.</t>
        </is>
      </c>
      <c r="O43" s="2" t="inlineStr">
        <is>
          <t>Cross-study comparison.</t>
        </is>
      </c>
      <c r="P43" s="2" t="inlineStr">
        <is>
          <t>Not causal across studies due methodological heterogeneity, but pattern is observable.</t>
        </is>
      </c>
      <c r="Q43" s="2" t="inlineStr">
        <is>
          <t>Evidence synthesis by study type.</t>
        </is>
      </c>
      <c r="R43" s="2" t="inlineStr">
        <is>
          <t>Revised interpretation / calls for physical validation</t>
        </is>
      </c>
      <c r="S43" s="2" t="inlineStr">
        <is>
          <t>N/A</t>
        </is>
      </c>
      <c r="T43" s="2" t="inlineStr">
        <is>
          <t>N/A</t>
        </is>
      </c>
      <c r="U43" s="2" t="inlineStr">
        <is>
          <t>Yes across published studies</t>
        </is>
      </c>
      <c r="V43" s="2" t="inlineStr">
        <is>
          <t>Moderate because designs differ</t>
        </is>
      </c>
      <c r="W43" s="2" t="inlineStr">
        <is>
          <t>Field-level</t>
        </is>
      </c>
      <c r="X43" s="2" t="inlineStr">
        <is>
          <t>Yes: newer studies emphasize physical validation</t>
        </is>
      </c>
      <c r="Y43" s="2" t="inlineStr">
        <is>
          <t>research-field methodology</t>
        </is>
      </c>
      <c r="Z43" s="2" t="inlineStr">
        <is>
          <t>Clear wet-lab vs in-silico gap in current evidence base.</t>
        </is>
      </c>
      <c r="AA43" s="2" t="inlineStr">
        <is>
          <t>evaluation boundary; task modality; participant expertise; baseline; endpoint</t>
        </is>
      </c>
      <c r="AB43" s="2" t="inlineStr">
        <is>
          <t>Mixed</t>
        </is>
      </c>
      <c r="AC43" s="2" t="inlineStr">
        <is>
          <t>Central comparison dimension</t>
        </is>
      </c>
      <c r="AD43" s="2" t="inlineStr">
        <is>
          <t>The system boundary is the central moderator of the observed evidence pattern.</t>
        </is>
      </c>
      <c r="AE43" s="2" t="inlineStr">
        <is>
          <t>Evidence synthesis / cross-study observation</t>
        </is>
      </c>
      <c r="AF43" s="2" t="inlineStr">
        <is>
          <t>https://securebio.org/benchmarks/uplift/</t>
        </is>
      </c>
      <c r="AG43" s="2" t="inlineStr">
        <is>
          <t>https://securebio.org/benchmarks/uplift/</t>
        </is>
      </c>
      <c r="AH43" s="2" t="inlineStr">
        <is>
          <t>Not a meta-analysis; descriptive synthesis, so avoid causal overclaim.</t>
        </is>
      </c>
    </row>
  </sheetData>
  <autoFilter ref="A1:AH1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0A6A6"/>
    <outlinePr summaryBelow="1" summaryRight="1"/>
    <pageSetUpPr/>
  </sheetPr>
  <dimension ref="A1:A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5" customWidth="1" min="3" max="3"/>
    <col width="12" customWidth="1" min="4" max="4"/>
    <col width="26" customWidth="1" min="5" max="5"/>
    <col width="38" customWidth="1" min="6" max="6"/>
    <col width="20" customWidth="1" min="7" max="7"/>
    <col width="28" customWidth="1" min="8" max="8"/>
    <col width="30" customWidth="1" min="9" max="9"/>
    <col width="45" customWidth="1" min="10" max="10"/>
    <col width="40" customWidth="1" min="11" max="11"/>
    <col width="32" customWidth="1" min="12" max="12"/>
    <col width="32" customWidth="1" min="13" max="13"/>
    <col width="32" customWidth="1" min="14" max="14"/>
    <col width="28" customWidth="1" min="15" max="15"/>
    <col width="18" customWidth="1" min="16" max="16"/>
    <col width="32" customWidth="1" min="17" max="17"/>
    <col width="45" customWidth="1" min="18" max="18"/>
    <col width="45" customWidth="1" min="19" max="19"/>
    <col width="45" customWidth="1" min="20" max="20"/>
    <col width="45" customWidth="1" min="21" max="21"/>
    <col width="35" customWidth="1" min="22" max="22"/>
    <col width="45" customWidth="1" min="23" max="23"/>
    <col width="18" customWidth="1" min="24" max="24"/>
    <col width="45" customWidth="1" min="25" max="25"/>
    <col width="55" customWidth="1" min="26" max="26"/>
    <col width="35" customWidth="1" min="27" max="27"/>
    <col width="35" customWidth="1" min="28" max="28"/>
    <col width="35" customWidth="1" min="29" max="29"/>
    <col width="24" customWidth="1" min="30" max="30"/>
    <col width="25" customWidth="1" min="31" max="31"/>
    <col width="45" customWidth="1" min="32" max="32"/>
  </cols>
  <sheetData>
    <row r="1">
      <c r="A1" s="6" t="inlineStr">
        <is>
          <t>id</t>
        </is>
      </c>
      <c r="B1" s="6" t="inlineStr">
        <is>
          <t>funder</t>
        </is>
      </c>
      <c r="C1" s="6" t="inlineStr">
        <is>
          <t>program</t>
        </is>
      </c>
      <c r="D1" s="6" t="inlineStr">
        <is>
          <t>year</t>
        </is>
      </c>
      <c r="E1" s="6" t="inlineStr">
        <is>
          <t>recipient</t>
        </is>
      </c>
      <c r="F1" s="6" t="inlineStr">
        <is>
          <t>output</t>
        </is>
      </c>
      <c r="G1" s="6" t="inlineStr">
        <is>
          <t>output_type</t>
        </is>
      </c>
      <c r="H1" s="6" t="inlineStr">
        <is>
          <t>funding_strength</t>
        </is>
      </c>
      <c r="I1" s="6" t="inlineStr">
        <is>
          <t>cofunding_network</t>
        </is>
      </c>
      <c r="J1" s="6" t="inlineStr">
        <is>
          <t>institutional_mission_context</t>
        </is>
      </c>
      <c r="K1" s="6" t="inlineStr">
        <is>
          <t>disclosed_competing_interests</t>
        </is>
      </c>
      <c r="L1" s="6" t="inlineStr">
        <is>
          <t>threat</t>
        </is>
      </c>
      <c r="M1" s="6" t="inlineStr">
        <is>
          <t>target_construct</t>
        </is>
      </c>
      <c r="N1" s="6" t="inlineStr">
        <is>
          <t>operational_proxy</t>
        </is>
      </c>
      <c r="O1" s="6" t="inlineStr">
        <is>
          <t>evidence</t>
        </is>
      </c>
      <c r="P1" s="6" t="inlineStr">
        <is>
          <t>configuration_class</t>
        </is>
      </c>
      <c r="Q1" s="6" t="inlineStr">
        <is>
          <t>configuration_detail</t>
        </is>
      </c>
      <c r="R1" s="6" t="inlineStr">
        <is>
          <t>author_claim</t>
        </is>
      </c>
      <c r="S1" s="6" t="inlineStr">
        <is>
          <t>direct_demonstration</t>
        </is>
      </c>
      <c r="T1" s="6" t="inlineStr">
        <is>
          <t>claim_demonstration_gap</t>
        </is>
      </c>
      <c r="U1" s="6" t="inlineStr">
        <is>
          <t>validation_evidence</t>
        </is>
      </c>
      <c r="V1" s="6" t="inlineStr">
        <is>
          <t>security_linkage_target</t>
        </is>
      </c>
      <c r="W1" s="6" t="inlineStr">
        <is>
          <t>security_linkage_evidence</t>
        </is>
      </c>
      <c r="X1" s="6" t="inlineStr">
        <is>
          <t>boundary_sensitivity_assessment</t>
        </is>
      </c>
      <c r="Y1" s="6" t="inlineStr">
        <is>
          <t>boundary_sensitivity_reason</t>
        </is>
      </c>
      <c r="Z1" s="6" t="inlineStr">
        <is>
          <t>theory_chain</t>
        </is>
      </c>
      <c r="AA1" s="6" t="inlineStr">
        <is>
          <t>source_url</t>
        </is>
      </c>
      <c r="AB1" s="6" t="inlineStr">
        <is>
          <t>funder_url</t>
        </is>
      </c>
      <c r="AC1" s="6" t="inlineStr">
        <is>
          <t>full_text_url</t>
        </is>
      </c>
      <c r="AD1" s="6" t="inlineStr">
        <is>
          <t>full_text_local</t>
        </is>
      </c>
      <c r="AE1" s="6" t="inlineStr">
        <is>
          <t>provenance</t>
        </is>
      </c>
      <c r="AF1" s="6" t="inlineStr">
        <is>
          <t>notes</t>
        </is>
      </c>
    </row>
    <row r="2">
      <c r="A2" s="2" t="inlineStr">
        <is>
          <t>P01</t>
        </is>
      </c>
      <c r="B2" s="2" t="inlineStr">
        <is>
          <t>Coefficient Giving / Open Philanthropy</t>
        </is>
      </c>
      <c r="C2" s="2" t="inlineStr">
        <is>
          <t>AI safety &amp; security grantmaking</t>
        </is>
      </c>
      <c r="D2" s="2" t="inlineStr">
        <is>
          <t>2024-2025</t>
        </is>
      </c>
      <c r="E2" s="2" t="inlineStr">
        <is>
          <t>FutureHouse</t>
        </is>
      </c>
      <c r="F2" s="2" t="inlineStr">
        <is>
          <t>LAB-Bench: Measuring Capabilities of Language Models for Biology Research</t>
        </is>
      </c>
      <c r="G2" s="2" t="inlineStr">
        <is>
          <t>Benchmark paper</t>
        </is>
      </c>
      <c r="H2" s="2" t="inlineStr">
        <is>
          <t>Directly identified by funder as supported work</t>
        </is>
      </c>
      <c r="I2" s="2" t="inlineStr">
        <is>
          <t>To be coded from explicit source acknowledgements</t>
        </is>
      </c>
      <c r="J2" s="2" t="inlineStr">
        <is>
          <t>Record stated funder/recipient mission from primary organizational sources during scaled coding; do not infer bias from mission alignment.</t>
        </is>
      </c>
      <c r="K2" s="2" t="inlineStr">
        <is>
          <t>Not systematically coded in v1 pilot; v1.1 requires source-level disclosure review during full-text coding.</t>
        </is>
      </c>
      <c r="L2" s="2" t="inlineStr">
        <is>
          <t>AI-enabled biology capability / potential misuse</t>
        </is>
      </c>
      <c r="M2" s="2" t="inlineStr">
        <is>
          <t>Practical biology research capability</t>
        </is>
      </c>
      <c r="N2" s="2" t="inlineStr">
        <is>
          <t>2,400+ multiple-choice questions across literature, figures, databases, protocols, sequences, cloning scenarios</t>
        </is>
      </c>
      <c r="O2" s="2" t="inlineStr">
        <is>
          <t>Benchmark + expert-human comparison</t>
        </is>
      </c>
      <c r="P2" s="2" t="inlineStr">
        <is>
          <t>model+tools</t>
        </is>
      </c>
      <c r="Q2" s="2" t="inlineStr">
        <is>
          <t>Model-only in primary reported evaluation; some tasks are tool-dependent conceptually</t>
        </is>
      </c>
      <c r="R2" s="2" t="inlineStr">
        <is>
          <t>High benchmark performance indicates useful biology research assistance; funder later frames LAB-Bench as a pre-deployment bio-risk evaluation tool</t>
        </is>
      </c>
      <c r="S2" s="2" t="inlineStr">
        <is>
          <t>Measures model performance on a curated set of practical-biology questions; does not directly demonstrate wet-lab execution or biosecurity harm</t>
        </is>
      </c>
      <c r="T2" s="2" t="inlineStr">
        <is>
          <t>Compare author_claim with direct_demonstration; broader downstream security claims require explicit linkage evidence.</t>
        </is>
      </c>
      <c r="U2" s="2" t="inlineStr">
        <is>
          <t>Expert-human comparison; task design intended to reflect practical research; limited direct workflow or predictive validation</t>
        </is>
      </c>
      <c r="V2" s="2" t="inlineStr">
        <is>
          <t>Consequential security outcome implied by theory chain</t>
        </is>
      </c>
      <c r="W2" s="2" t="inlineStr">
        <is>
          <t>Indirect: capability benchmark -&gt; possible biological uplift/misuse risk</t>
        </is>
      </c>
      <c r="X2" s="2" t="inlineStr">
        <is>
          <t>high</t>
        </is>
      </c>
      <c r="Y2" s="2" t="inlineStr">
        <is>
          <t>Expanding to real users, tools, deployment and downstream consequences may alter inference; case-specific coding required.</t>
        </is>
      </c>
      <c r="Z2" s="2" t="inlineStr">
        <is>
          <t>AI-bio misuse threat -&gt; practical biology capability -&gt; benchmark score -&gt; inferred research assistance/uplift -&gt; biosecurity relevance</t>
        </is>
      </c>
      <c r="AA2" s="2" t="inlineStr">
        <is>
          <t>https://arxiv.org/abs/2407.10362</t>
        </is>
      </c>
      <c r="AB2" s="2" t="inlineStr">
        <is>
          <t>https://coefficientgiving.org/research/ai-safety-and-security-need-more-funders/</t>
        </is>
      </c>
      <c r="AC2" s="2" t="inlineStr">
        <is>
          <t>https://arxiv.org/pdf/2407.10362</t>
        </is>
      </c>
      <c r="AD2" s="2" t="inlineStr">
        <is>
          <t>Not locally archived in this runtime; canonical full-text link captured</t>
        </is>
      </c>
      <c r="AE2" s="2" t="inlineStr">
        <is>
          <t>Funder page + paper</t>
        </is>
      </c>
      <c r="AF2" s="2" t="inlineStr">
        <is>
          <t>Useful proxy/construct case; paper itself calls several tasks necessary but not sufficient for useful AI science systems.</t>
        </is>
      </c>
    </row>
    <row r="3">
      <c r="A3" s="2" t="inlineStr">
        <is>
          <t>P02</t>
        </is>
      </c>
      <c r="B3" s="2" t="inlineStr">
        <is>
          <t>Coefficient Giving / Open Philanthropy</t>
        </is>
      </c>
      <c r="C3" s="2" t="inlineStr">
        <is>
          <t>AI safety &amp; security grantmaking</t>
        </is>
      </c>
      <c r="D3" s="2" t="inlineStr">
        <is>
          <t>2024-2025</t>
        </is>
      </c>
      <c r="E3" s="2" t="inlineStr">
        <is>
          <t>Stanford / Percy Liang et al.</t>
        </is>
      </c>
      <c r="F3" s="2" t="inlineStr">
        <is>
          <t>Cybench: A Framework for Evaluating Cybersecurity Capabilities and Risks of Language Models</t>
        </is>
      </c>
      <c r="G3" s="2" t="inlineStr">
        <is>
          <t>Benchmark paper</t>
        </is>
      </c>
      <c r="H3" s="2" t="inlineStr">
        <is>
          <t>Directly identified by funder as supported work</t>
        </is>
      </c>
      <c r="I3" s="2" t="inlineStr">
        <is>
          <t>To be coded from explicit source acknowledgements</t>
        </is>
      </c>
      <c r="J3" s="2" t="inlineStr">
        <is>
          <t>Record stated funder/recipient mission from primary organizational sources during scaled coding; do not infer bias from mission alignment.</t>
        </is>
      </c>
      <c r="K3" s="2" t="inlineStr">
        <is>
          <t>Not systematically coded in v1 pilot; v1.1 requires source-level disclosure review during full-text coding.</t>
        </is>
      </c>
      <c r="L3" s="2" t="inlineStr">
        <is>
          <t>AI-enabled offensive cyber capability</t>
        </is>
      </c>
      <c r="M3" s="2" t="inlineStr">
        <is>
          <t>Autonomous cybersecurity task capability</t>
        </is>
      </c>
      <c r="N3" s="2" t="inlineStr">
        <is>
          <t>CTF-style cybersecurity tasks executed by language-model agents</t>
        </is>
      </c>
      <c r="O3" s="2" t="inlineStr">
        <is>
          <t>Agent benchmark</t>
        </is>
      </c>
      <c r="P3" s="2" t="inlineStr">
        <is>
          <t>agentic</t>
        </is>
      </c>
      <c r="Q3" s="2" t="inlineStr">
        <is>
          <t>Agent + tools/environment</t>
        </is>
      </c>
      <c r="R3" s="2" t="inlineStr">
        <is>
          <t>Quantifies cybersecurity capabilities and risks; funder says it has become a fixture in pre-deployment cyber-risk evaluations</t>
        </is>
      </c>
      <c r="S3" s="2" t="inlineStr">
        <is>
          <t>Measures agent success on benchmarked cyber tasks</t>
        </is>
      </c>
      <c r="T3" s="2" t="inlineStr">
        <is>
          <t>Compare author_claim with direct_demonstration; broader downstream security claims require explicit linkage evidence.</t>
        </is>
      </c>
      <c r="U3" s="2" t="inlineStr">
        <is>
          <t>Task realism stronger than QA-only benchmarks; downstream real-world attack prediction remains separate question</t>
        </is>
      </c>
      <c r="V3" s="2" t="inlineStr">
        <is>
          <t>Consequential security outcome implied by theory chain</t>
        </is>
      </c>
      <c r="W3" s="2" t="inlineStr">
        <is>
          <t>Moderate/indirect: task success -&gt; offensive capability -&gt; cyber risk</t>
        </is>
      </c>
      <c r="X3" s="2" t="inlineStr">
        <is>
          <t>moderate</t>
        </is>
      </c>
      <c r="Y3" s="2" t="inlineStr">
        <is>
          <t>Expanding to real users, tools, deployment and downstream consequences may alter inference; case-specific coding required.</t>
        </is>
      </c>
      <c r="Z3" s="2" t="inlineStr">
        <is>
          <t>Cyber misuse threat -&gt; agent cyber capability -&gt; CTF task success -&gt; inferred real-world offensive capability -&gt; deployment risk decision</t>
        </is>
      </c>
      <c r="AA3" s="2" t="inlineStr">
        <is>
          <t>https://arxiv.org/abs/2408.08926</t>
        </is>
      </c>
      <c r="AB3" s="2" t="inlineStr">
        <is>
          <t>https://coefficientgiving.org/research/ai-safety-and-security-need-more-funders/</t>
        </is>
      </c>
      <c r="AC3" s="2" t="inlineStr">
        <is>
          <t>https://arxiv.org/pdf/2408.08926</t>
        </is>
      </c>
      <c r="AD3" s="2" t="inlineStr">
        <is>
          <t>Not locally archived in this runtime; canonical full-text link captured</t>
        </is>
      </c>
      <c r="AE3" s="2" t="inlineStr">
        <is>
          <t>Funder page + paper</t>
        </is>
      </c>
      <c r="AF3" s="2" t="inlineStr">
        <is>
          <t>Good comparison case because evaluation includes agent/environment interaction rather than only static QA.</t>
        </is>
      </c>
    </row>
    <row r="4">
      <c r="A4" s="2" t="inlineStr">
        <is>
          <t>P03</t>
        </is>
      </c>
      <c r="B4" s="2" t="inlineStr">
        <is>
          <t>AI Safety Fund / Frontier Model Forum</t>
        </is>
      </c>
      <c r="C4" s="2" t="inlineStr">
        <is>
          <t>AI-bio grantmaking</t>
        </is>
      </c>
      <c r="D4" s="2" t="inlineStr">
        <is>
          <t>2024-2025</t>
        </is>
      </c>
      <c r="E4" s="2" t="inlineStr">
        <is>
          <t>SecureBio AIxBio</t>
        </is>
      </c>
      <c r="F4" s="2" t="inlineStr">
        <is>
          <t>Virology Capabilities Test (VCT): A Multimodal Virology Q&amp;A Benchmark</t>
        </is>
      </c>
      <c r="G4" s="2" t="inlineStr">
        <is>
          <t>Benchmark paper</t>
        </is>
      </c>
      <c r="H4" s="2" t="inlineStr">
        <is>
          <t>Direct FMF/AISF support stated by funder</t>
        </is>
      </c>
      <c r="I4" s="2" t="inlineStr">
        <is>
          <t>To be coded from explicit source acknowledgements</t>
        </is>
      </c>
      <c r="J4" s="2" t="inlineStr">
        <is>
          <t>Record stated funder/recipient mission from primary organizational sources during scaled coding; do not infer bias from mission alignment.</t>
        </is>
      </c>
      <c r="K4" s="2" t="inlineStr">
        <is>
          <t>Not systematically coded in v1 pilot; v1.1 requires source-level disclosure review during full-text coding.</t>
        </is>
      </c>
      <c r="L4" s="2" t="inlineStr">
        <is>
          <t>Frontier models enabling dangerous virology work</t>
        </is>
      </c>
      <c r="M4" s="2" t="inlineStr">
        <is>
          <t>Practical virology troubleshooting capability</t>
        </is>
      </c>
      <c r="N4" s="2" t="inlineStr">
        <is>
          <t>322 multimodal expert-authored questions covering tacit, visual, and procedural virology knowledge</t>
        </is>
      </c>
      <c r="O4" s="2" t="inlineStr">
        <is>
          <t>Benchmark + expert-human comparison</t>
        </is>
      </c>
      <c r="P4" s="2" t="inlineStr">
        <is>
          <t>model-only</t>
        </is>
      </c>
      <c r="Q4" s="2" t="inlineStr">
        <is>
          <t>Model-only multimodal QA</t>
        </is>
      </c>
      <c r="R4" s="2" t="inlineStr">
        <is>
          <t>Frontier models can outperform expert virologists on this benchmark; capability should inform dual-use governance</t>
        </is>
      </c>
      <c r="S4" s="2" t="inlineStr">
        <is>
          <t>Shows model accuracy above expert average on VCT questions</t>
        </is>
      </c>
      <c r="T4" s="2" t="inlineStr">
        <is>
          <t>Compare author_claim with direct_demonstration; broader downstream security claims require explicit linkage evidence.</t>
        </is>
      </c>
      <c r="U4" s="2" t="inlineStr">
        <is>
          <t>Strong expert construction/comparison; no direct demonstration of wet-lab execution or misuse outcome</t>
        </is>
      </c>
      <c r="V4" s="2" t="inlineStr">
        <is>
          <t>Consequential security outcome implied by theory chain</t>
        </is>
      </c>
      <c r="W4" s="2" t="inlineStr">
        <is>
          <t>Indirect but explicit: troubleshooting knowledge -&gt; potential lab assistance -&gt; misuse risk</t>
        </is>
      </c>
      <c r="X4" s="2" t="inlineStr">
        <is>
          <t>high</t>
        </is>
      </c>
      <c r="Y4" s="2" t="inlineStr">
        <is>
          <t>Expanding to real users, tools, deployment and downstream consequences may alter inference; case-specific coding required.</t>
        </is>
      </c>
      <c r="Z4" s="2" t="inlineStr">
        <is>
          <t>Virology misuse threat -&gt; troubleshooting capability -&gt; VCT score -&gt; inferred practical assistance -&gt; governance/safeguard implication</t>
        </is>
      </c>
      <c r="AA4" s="2" t="inlineStr">
        <is>
          <t>https://arxiv.org/abs/2504.16137</t>
        </is>
      </c>
      <c r="AB4" s="2" t="inlineStr">
        <is>
          <t>https://www.frontiermodelforum.org/updates/latest-from-the-fmf-grant-making-to-address-ai-bio-risk-challenges/</t>
        </is>
      </c>
      <c r="AC4" s="2" t="inlineStr">
        <is>
          <t>https://arxiv.org/pdf/2504.16137</t>
        </is>
      </c>
      <c r="AD4" s="2" t="inlineStr">
        <is>
          <t>Not locally archived in this runtime; canonical full-text link captured</t>
        </is>
      </c>
      <c r="AE4" s="2" t="inlineStr">
        <is>
          <t>FMF page + paper</t>
        </is>
      </c>
      <c r="AF4" s="2" t="inlineStr">
        <is>
          <t>Excellent case for claim-demonstration distance: practical troubleshooting benchmark is closer to workflow than general knowledge, but still not physical execution.</t>
        </is>
      </c>
    </row>
    <row r="5">
      <c r="A5" s="2" t="inlineStr">
        <is>
          <t>P04</t>
        </is>
      </c>
      <c r="B5" s="2" t="inlineStr">
        <is>
          <t>AI Safety Fund / Frontier Model Forum</t>
        </is>
      </c>
      <c r="C5" s="2" t="inlineStr">
        <is>
          <t>AI-bio grantmaking</t>
        </is>
      </c>
      <c r="D5" s="2" t="inlineStr">
        <is>
          <t>2024-2025</t>
        </is>
      </c>
      <c r="E5" s="2" t="inlineStr">
        <is>
          <t>Nemesys Insights</t>
        </is>
      </c>
      <c r="F5" s="2" t="inlineStr">
        <is>
          <t>Biothreat Benchmark Generation Framework I &amp; II / Bacterial Biothreat Benchmark</t>
        </is>
      </c>
      <c r="G5" s="2" t="inlineStr">
        <is>
          <t>Framework + benchmark papers</t>
        </is>
      </c>
      <c r="H5" s="2" t="inlineStr">
        <is>
          <t>Direct FMF/AISF support stated by funder</t>
        </is>
      </c>
      <c r="I5" s="2" t="inlineStr">
        <is>
          <t>To be coded from explicit source acknowledgements</t>
        </is>
      </c>
      <c r="J5" s="2" t="inlineStr">
        <is>
          <t>Record stated funder/recipient mission from primary organizational sources during scaled coding; do not infer bias from mission alignment.</t>
        </is>
      </c>
      <c r="K5" s="2" t="inlineStr">
        <is>
          <t>Not systematically coded in v1 pilot; v1.1 requires source-level disclosure review during full-text coding.</t>
        </is>
      </c>
      <c r="L5" s="2" t="inlineStr">
        <is>
          <t>AI facilitation of bacterial biothreat development</t>
        </is>
      </c>
      <c r="M5" s="2" t="inlineStr">
        <is>
          <t>Biosecurity-relevant uplift potential across a biothreat task chain</t>
        </is>
      </c>
      <c r="N5" s="2" t="inlineStr">
        <is>
          <t>Task-query architecture and 1,010 benchmark prompts selected from &gt;7,000 candidates</t>
        </is>
      </c>
      <c r="O5" s="2" t="inlineStr">
        <is>
          <t>Structured benchmark-generation methodology</t>
        </is>
      </c>
      <c r="P5" s="2" t="inlineStr">
        <is>
          <t>model-only</t>
        </is>
      </c>
      <c r="Q5" s="2" t="inlineStr">
        <is>
          <t>Model-level prompts mapped to an operational threat architecture</t>
        </is>
      </c>
      <c r="R5" s="2" t="inlineStr">
        <is>
          <t>Framework can assess biosecurity risk uplift and harm potential while accounting for actor capability and operational factors</t>
        </is>
      </c>
      <c r="S5" s="2" t="inlineStr">
        <is>
          <t>Creates a structured prompt set and taxonomy; does not itself establish actual uplift or downstream security consequences</t>
        </is>
      </c>
      <c r="T5" s="2" t="inlineStr">
        <is>
          <t>Compare author_claim with direct_demonstration; broader downstream security claims require explicit linkage evidence.</t>
        </is>
      </c>
      <c r="U5" s="2" t="inlineStr">
        <is>
          <t>Expert design and uplift-diagnostic filtering; implementation/evaluation evidence is separate/forthcoming</t>
        </is>
      </c>
      <c r="V5" s="2" t="inlineStr">
        <is>
          <t>Consequential security outcome implied by theory chain</t>
        </is>
      </c>
      <c r="W5" s="2" t="inlineStr">
        <is>
          <t>Indirect: threat-chain coverage -&gt; benchmark performance -&gt; inferred uplift/harm potential</t>
        </is>
      </c>
      <c r="X5" s="2" t="inlineStr">
        <is>
          <t>high</t>
        </is>
      </c>
      <c r="Y5" s="2" t="inlineStr">
        <is>
          <t>Expanding to real users, tools, deployment and downstream consequences may alter inference; case-specific coding required.</t>
        </is>
      </c>
      <c r="Z5" s="2" t="inlineStr">
        <is>
          <t>Biothreat threat model -&gt; task-query architecture -&gt; prompt benchmark -&gt; model performance -&gt; inferred biosecurity uplift</t>
        </is>
      </c>
      <c r="AA5" s="2" t="inlineStr">
        <is>
          <t>https://arxiv.org/abs/2512.08130 ; https://arxiv.org/abs/2512.08451</t>
        </is>
      </c>
      <c r="AB5" s="2" t="inlineStr">
        <is>
          <t>https://www.frontiermodelforum.org/updates/latest-from-the-fmf-grant-making-to-address-ai-bio-risk-challenges/</t>
        </is>
      </c>
      <c r="AC5" s="2" t="inlineStr">
        <is>
          <t>https://arxiv.org/pdf/2512.08130 ; https://arxiv.org/pdf/2512.08451</t>
        </is>
      </c>
      <c r="AD5" s="2" t="inlineStr">
        <is>
          <t>Not locally archived in this runtime; canonical full-text links captured</t>
        </is>
      </c>
      <c r="AE5" s="2" t="inlineStr">
        <is>
          <t>FMF page + two papers</t>
        </is>
      </c>
      <c r="AF5" s="2" t="inlineStr">
        <is>
          <t>Particularly useful for examining whether a rich threat taxonomy improves security validity versus simply benchmark coverage.</t>
        </is>
      </c>
    </row>
    <row r="6">
      <c r="A6" s="2" t="inlineStr">
        <is>
          <t>P05</t>
        </is>
      </c>
      <c r="B6" s="2" t="inlineStr">
        <is>
          <t>Frontier Model Forum + Sentinel Bio</t>
        </is>
      </c>
      <c r="C6" s="2" t="inlineStr">
        <is>
          <t>AI-bio wet-lab study</t>
        </is>
      </c>
      <c r="D6" s="2" t="inlineStr">
        <is>
          <t>2025-2026</t>
        </is>
      </c>
      <c r="E6" s="2" t="inlineStr">
        <is>
          <t>Sentinel Bio</t>
        </is>
      </c>
      <c r="F6" s="2" t="inlineStr">
        <is>
          <t>Large-scale wet-lab human uplift study</t>
        </is>
      </c>
      <c r="G6" s="2" t="inlineStr">
        <is>
          <t>Ongoing experimental study</t>
        </is>
      </c>
      <c r="H6" s="2" t="inlineStr">
        <is>
          <t>Direct funding stated by FMF</t>
        </is>
      </c>
      <c r="I6" s="2" t="inlineStr">
        <is>
          <t>To be coded from explicit source acknowledgements</t>
        </is>
      </c>
      <c r="J6" s="2" t="inlineStr">
        <is>
          <t>Record stated funder/recipient mission from primary organizational sources during scaled coding; do not infer bias from mission alignment.</t>
        </is>
      </c>
      <c r="K6" s="2" t="inlineStr">
        <is>
          <t>Not systematically coded in v1 pilot; v1.1 requires source-level disclosure review during full-text coding.</t>
        </is>
      </c>
      <c r="L6" s="2" t="inlineStr">
        <is>
          <t>AI uplift of non-experts to perform advanced biological tasks</t>
        </is>
      </c>
      <c r="M6" s="2" t="inlineStr">
        <is>
          <t>Human capability uplift in physical biology</t>
        </is>
      </c>
      <c r="N6" s="2" t="inlineStr">
        <is>
          <t>Novice participants complete a defined multi-step BSL-2 procedure with multimodal AI vs internet-only control</t>
        </is>
      </c>
      <c r="O6" s="2" t="inlineStr">
        <is>
          <t>Controlled human wet-lab experiment</t>
        </is>
      </c>
      <c r="P6" s="2" t="inlineStr">
        <is>
          <t>human+AI</t>
        </is>
      </c>
      <c r="Q6" s="2" t="inlineStr">
        <is>
          <t>Human + AI + physical lab workflow</t>
        </is>
      </c>
      <c r="R6" s="2" t="inlineStr">
        <is>
          <t>Intended to assess whether AI meaningfully uplifts wet-lab capabilities of novices and inform misuse risk/safeguards</t>
        </is>
      </c>
      <c r="S6" s="2" t="inlineStr">
        <is>
          <t>Study design announced; results not yet public in cited source</t>
        </is>
      </c>
      <c r="T6" s="2" t="inlineStr">
        <is>
          <t>Compare author_claim with direct_demonstration; broader downstream security claims require explicit linkage evidence.</t>
        </is>
      </c>
      <c r="U6" s="2" t="inlineStr">
        <is>
          <t>Potentially high ecological relevance within bounded task; results pending</t>
        </is>
      </c>
      <c r="V6" s="2" t="inlineStr">
        <is>
          <t>Consequential security outcome implied by theory chain</t>
        </is>
      </c>
      <c r="W6" s="2" t="inlineStr">
        <is>
          <t>Directly tests one critical arrow: AI access -&gt; human physical-biological task performance</t>
        </is>
      </c>
      <c r="X6" s="2" t="inlineStr">
        <is>
          <t>moderate</t>
        </is>
      </c>
      <c r="Y6" s="2" t="inlineStr">
        <is>
          <t>Expanding to real users, tools, deployment and downstream consequences may alter inference; case-specific coding required.</t>
        </is>
      </c>
      <c r="Z6" s="2" t="inlineStr">
        <is>
          <t>Bio misuse threat -&gt; AI assistance -&gt; novice wet-lab performance -&gt; inferred capability uplift -&gt; safeguard implication</t>
        </is>
      </c>
      <c r="AA6" s="2" t="inlineStr">
        <is>
          <t>https://www.frontiermodelforum.org/updates/latest-from-the-fmf-grant-making-to-address-ai-bio-risk-challenges/</t>
        </is>
      </c>
      <c r="AB6" s="2" t="inlineStr">
        <is>
          <t>https://www.frontiermodelforum.org/updates/latest-from-the-fmf-grant-making-to-address-ai-bio-risk-challenges/</t>
        </is>
      </c>
      <c r="AC6" s="2" t="inlineStr">
        <is>
          <t>https://www.frontiermodelforum.org/updates/latest-from-the-fmf-grant-making-to-address-ai-bio-risk-challenges/</t>
        </is>
      </c>
      <c r="AD6" s="2" t="inlineStr">
        <is>
          <t>Official announcement link captured; no public full study text/results yet</t>
        </is>
      </c>
      <c r="AE6" s="2" t="inlineStr">
        <is>
          <t>FMF official announcement</t>
        </is>
      </c>
      <c r="AF6" s="2" t="inlineStr">
        <is>
          <t>Important transition from benchmark to workflow/physical execution.</t>
        </is>
      </c>
    </row>
    <row r="7">
      <c r="A7" s="2" t="inlineStr">
        <is>
          <t>P06</t>
        </is>
      </c>
      <c r="B7" s="2" t="inlineStr">
        <is>
          <t>CSET</t>
        </is>
      </c>
      <c r="C7" s="2" t="inlineStr">
        <is>
          <t>Foundational Research Grants</t>
        </is>
      </c>
      <c r="D7" s="2" t="inlineStr">
        <is>
          <t>2026</t>
        </is>
      </c>
      <c r="E7" s="2" t="inlineStr">
        <is>
          <t>FAR.AI</t>
        </is>
      </c>
      <c r="F7" s="2" t="inlineStr">
        <is>
          <t>AI Persuasion as a Threat to Human Control</t>
        </is>
      </c>
      <c r="G7" s="2" t="inlineStr">
        <is>
          <t>Threat model + expert elicitation + preliminary eval</t>
        </is>
      </c>
      <c r="H7" s="2" t="inlineStr">
        <is>
          <t>Paper states supported by CSET grant AWD-7773402-GR297212</t>
        </is>
      </c>
      <c r="I7" s="2" t="inlineStr">
        <is>
          <t>To be coded from explicit source acknowledgements</t>
        </is>
      </c>
      <c r="J7" s="2" t="inlineStr">
        <is>
          <t>Record stated funder/recipient mission from primary organizational sources during scaled coding; do not infer bias from mission alignment.</t>
        </is>
      </c>
      <c r="K7" s="2" t="inlineStr">
        <is>
          <t>Not systematically coded in v1 pilot; v1.1 requires source-level disclosure review during full-text coding.</t>
        </is>
      </c>
      <c r="L7" s="2" t="inlineStr">
        <is>
          <t>AI persuasion undermining human control of AI systems</t>
        </is>
      </c>
      <c r="M7" s="2" t="inlineStr">
        <is>
          <t>Persuasion-induced control-undermining decisions</t>
        </is>
      </c>
      <c r="N7" s="2" t="inlineStr">
        <is>
          <t>Five scenarios; expert elicitation (8 included participants); LLM-only preliminary manipulation-detection setups</t>
        </is>
      </c>
      <c r="O7" s="2" t="inlineStr">
        <is>
          <t>Threat modeling + expert survey + synthetic LLM evaluation</t>
        </is>
      </c>
      <c r="P7" s="2" t="inlineStr">
        <is>
          <t>model-only</t>
        </is>
      </c>
      <c r="Q7" s="2" t="inlineStr">
        <is>
          <t>Human-AI control relationship conceptually; preliminary eval is LLM actor + LLM judge</t>
        </is>
      </c>
      <c r="R7" s="2" t="inlineStr">
        <is>
          <t>Persuasion is a credible emerging threat to human control and can be made empirically assessable</t>
        </is>
      </c>
      <c r="S7" s="2" t="inlineStr">
        <is>
          <t>Builds framework/scenarios; experts disagree substantially; preliminary LLM setup shows source/context affects manipulation detection; no human persuasion experiment yet</t>
        </is>
      </c>
      <c r="T7" s="2" t="inlineStr">
        <is>
          <t>Compare author_claim with direct_demonstration; broader downstream security claims require explicit linkage evidence.</t>
        </is>
      </c>
      <c r="U7" s="2" t="inlineStr">
        <is>
          <t>Exploratory; authors explicitly flag ecological-validity challenges and leave human studies for future work</t>
        </is>
      </c>
      <c r="V7" s="2" t="inlineStr">
        <is>
          <t>Consequential security outcome implied by theory chain</t>
        </is>
      </c>
      <c r="W7" s="2" t="inlineStr">
        <is>
          <t>Long chain from synthetic persuasion setup to loss-of-control risk remains largely hypothesized</t>
        </is>
      </c>
      <c r="X7" s="2" t="inlineStr">
        <is>
          <t>high</t>
        </is>
      </c>
      <c r="Y7" s="2" t="inlineStr">
        <is>
          <t>Expanding to real users, tools, deployment and downstream consequences may alter inference; case-specific coding required.</t>
        </is>
      </c>
      <c r="Z7" s="2" t="inlineStr">
        <is>
          <t>Loss-of-control concern -&gt; persuasion pathway -&gt; scenario variables -&gt; synthetic eval/expert estimate -&gt; inferred control risk -&gt; mitigations</t>
        </is>
      </c>
      <c r="AA7" s="2" t="inlineStr">
        <is>
          <t>https://arxiv.org/abs/2609.14796</t>
        </is>
      </c>
      <c r="AB7" s="2" t="inlineStr">
        <is>
          <t>https://cset.georgetown.edu/foundational-research-grants/</t>
        </is>
      </c>
      <c r="AC7" s="2" t="inlineStr">
        <is>
          <t>https://arxiv.org/pdf/2609.14796</t>
        </is>
      </c>
      <c r="AD7" s="2" t="inlineStr">
        <is>
          <t>sources/papers/PUC_AI_Persuasion_2609.14796.pdf</t>
        </is>
      </c>
      <c r="AE7" s="2" t="inlineStr">
        <is>
          <t>Paper + CSET program page</t>
        </is>
      </c>
      <c r="AF7" s="2" t="inlineStr">
        <is>
          <t>Strong pilot for separating framework sophistication from demonstrated real-world security effect.</t>
        </is>
      </c>
    </row>
    <row r="8">
      <c r="A8" s="2" t="inlineStr">
        <is>
          <t>P07</t>
        </is>
      </c>
      <c r="B8" s="2" t="inlineStr">
        <is>
          <t>CSET</t>
        </is>
      </c>
      <c r="C8" s="2" t="inlineStr">
        <is>
          <t>Foundational Research Grants</t>
        </is>
      </c>
      <c r="D8" s="2" t="inlineStr">
        <is>
          <t>2023</t>
        </is>
      </c>
      <c r="E8" s="2" t="inlineStr">
        <is>
          <t>Stanford Intelligent Systems Laboratory (Corso, Kochenderfer et al.)</t>
        </is>
      </c>
      <c r="F8" s="2" t="inlineStr">
        <is>
          <t>A Holistic Assessment of the Reliability of Machine Learning Systems</t>
        </is>
      </c>
      <c r="G8" s="2" t="inlineStr">
        <is>
          <t>Empirical reliability paper</t>
        </is>
      </c>
      <c r="H8" s="2" t="inlineStr">
        <is>
          <t>CSET explicitly states study was supported by CSET funding</t>
        </is>
      </c>
      <c r="I8" s="2" t="inlineStr">
        <is>
          <t>To be coded from explicit source acknowledgements</t>
        </is>
      </c>
      <c r="J8" s="2" t="inlineStr">
        <is>
          <t>Record stated funder/recipient mission from primary organizational sources during scaled coding; do not infer bias from mission alignment.</t>
        </is>
      </c>
      <c r="K8" s="2" t="inlineStr">
        <is>
          <t>Not systematically coded in v1 pilot; v1.1 requires source-level disclosure review during full-text coding.</t>
        </is>
      </c>
      <c r="L8" s="2" t="inlineStr">
        <is>
          <t>Unreliable ML in high-stakes systems</t>
        </is>
      </c>
      <c r="M8" s="2" t="inlineStr">
        <is>
          <t>Reliability as multi-dimensional property</t>
        </is>
      </c>
      <c r="N8" s="2" t="inlineStr">
        <is>
          <t>Five properties: in-distribution accuracy, distribution-shift robustness, adversarial robustness, calibration, OOD detection; &gt;500 models</t>
        </is>
      </c>
      <c r="O8" s="2" t="inlineStr">
        <is>
          <t>Large empirical comparative study</t>
        </is>
      </c>
      <c r="P8" s="2" t="inlineStr">
        <is>
          <t>model-only</t>
        </is>
      </c>
      <c r="Q8" s="2" t="inlineStr">
        <is>
          <t>Model-level across datasets/training strategies</t>
        </is>
      </c>
      <c r="R8" s="2" t="inlineStr">
        <is>
          <t>Optimizing one reliability metric does not ensure others; reliability is not a single easy-to-measure property</t>
        </is>
      </c>
      <c r="S8" s="2" t="inlineStr">
        <is>
          <t>Empirically shows weak/non-universal coupling across reliability metrics and algorithmic approaches</t>
        </is>
      </c>
      <c r="T8" s="2" t="inlineStr">
        <is>
          <t>Compare author_claim with direct_demonstration; broader downstream security claims require explicit linkage evidence.</t>
        </is>
      </c>
      <c r="U8" s="2" t="inlineStr">
        <is>
          <t>Broad model/dataset comparison; still model-level rather than deployment-level</t>
        </is>
      </c>
      <c r="V8" s="2" t="inlineStr">
        <is>
          <t>Consequential security outcome implied by theory chain</t>
        </is>
      </c>
      <c r="W8" s="2" t="inlineStr">
        <is>
          <t>Methodological/security relevance through evaluation validity rather than direct catastrophic-risk claim</t>
        </is>
      </c>
      <c r="X8" s="2" t="inlineStr">
        <is>
          <t>moderate</t>
        </is>
      </c>
      <c r="Y8" s="2" t="inlineStr">
        <is>
          <t>Expanding to real users, tools, deployment and downstream consequences may alter inference; case-specific coding required.</t>
        </is>
      </c>
      <c r="Z8" s="2" t="inlineStr">
        <is>
          <t>High-stakes reliability concern -&gt; multidimensional construct -&gt; five metrics -&gt; cross-model empirical comparison -&gt; limits of single-metric assurance</t>
        </is>
      </c>
      <c r="AA8" s="2" t="inlineStr">
        <is>
          <t>https://arxiv.org/abs/2307.10586</t>
        </is>
      </c>
      <c r="AB8" s="2" t="inlineStr">
        <is>
          <t>https://cset.georgetown.edu/article/why-improving-ai-reliability-metrics-may-not-lead-to-reliability/</t>
        </is>
      </c>
      <c r="AC8" s="2" t="inlineStr">
        <is>
          <t>https://arxiv.org/pdf/2307.10586</t>
        </is>
      </c>
      <c r="AD8" s="2" t="inlineStr">
        <is>
          <t>Not locally archived in this runtime; canonical full-text link captured</t>
        </is>
      </c>
      <c r="AE8" s="2" t="inlineStr">
        <is>
          <t>CSET article + paper</t>
        </is>
      </c>
      <c r="AF8" s="2" t="inlineStr">
        <is>
          <t>Excellent methodological comparator for our proxy/construct-validity analysis.</t>
        </is>
      </c>
    </row>
    <row r="9">
      <c r="A9" s="2" t="inlineStr">
        <is>
          <t>P08</t>
        </is>
      </c>
      <c r="B9" s="2" t="inlineStr">
        <is>
          <t>Schmidt Sciences</t>
        </is>
      </c>
      <c r="C9" s="2" t="inlineStr">
        <is>
          <t>Science of Trustworthy AI</t>
        </is>
      </c>
      <c r="D9" s="2" t="inlineStr">
        <is>
          <t>2025</t>
        </is>
      </c>
      <c r="E9" s="2" t="inlineStr">
        <is>
          <t>Florian Tramèr et al., ETH Zurich</t>
        </is>
      </c>
      <c r="F9" s="2" t="inlineStr">
        <is>
          <t>Defeating Prompt Injections by Design (CaMeL)</t>
        </is>
      </c>
      <c r="G9" s="2" t="inlineStr">
        <is>
          <t>Security method paper</t>
        </is>
      </c>
      <c r="H9" s="2" t="inlineStr">
        <is>
          <t>Listed by Schmidt Sciences as a Science of Trustworthy AI program publication/project</t>
        </is>
      </c>
      <c r="I9" s="2" t="inlineStr">
        <is>
          <t>To be coded from explicit source acknowledgements</t>
        </is>
      </c>
      <c r="J9" s="2" t="inlineStr">
        <is>
          <t>Record stated funder/recipient mission from primary organizational sources during scaled coding; do not infer bias from mission alignment.</t>
        </is>
      </c>
      <c r="K9" s="2" t="inlineStr">
        <is>
          <t>Not systematically coded in v1 pilot; v1.1 requires source-level disclosure review during full-text coding.</t>
        </is>
      </c>
      <c r="L9" s="2" t="inlineStr">
        <is>
          <t>Prompt injection against AI agents with tool/data access</t>
        </is>
      </c>
      <c r="M9" s="2" t="inlineStr">
        <is>
          <t>System-level resistance to untrusted-data control-flow attacks</t>
        </is>
      </c>
      <c r="N9" s="2" t="inlineStr">
        <is>
          <t>AgentDojo tasks with explicit control/data-flow separation and capability-based data-flow restrictions</t>
        </is>
      </c>
      <c r="O9" s="2" t="inlineStr">
        <is>
          <t>Technical system design + benchmark evaluation + security argument</t>
        </is>
      </c>
      <c r="P9" s="2" t="inlineStr">
        <is>
          <t>agentic</t>
        </is>
      </c>
      <c r="Q9" s="2" t="inlineStr">
        <is>
          <t>Agent + system layer + tools/data</t>
        </is>
      </c>
      <c r="R9" s="2" t="inlineStr">
        <is>
          <t>A protective system layer can provide strong/provable resistance to prompt injection while retaining task utility</t>
        </is>
      </c>
      <c r="S9" s="2" t="inlineStr">
        <is>
          <t>CaMeL solves a substantial subset of benchmark tasks with stated security guarantees under its model</t>
        </is>
      </c>
      <c r="T9" s="2" t="inlineStr">
        <is>
          <t>Compare author_claim with direct_demonstration; broader downstream security claims require explicit linkage evidence.</t>
        </is>
      </c>
      <c r="U9" s="2" t="inlineStr">
        <is>
          <t>Stronger system-level technical validity; deployment generalization remains separate</t>
        </is>
      </c>
      <c r="V9" s="2" t="inlineStr">
        <is>
          <t>Consequential security outcome implied by theory chain</t>
        </is>
      </c>
      <c r="W9" s="2" t="inlineStr">
        <is>
          <t>Relatively direct within scoped threat model</t>
        </is>
      </c>
      <c r="X9" s="2" t="inlineStr">
        <is>
          <t>moderate</t>
        </is>
      </c>
      <c r="Y9" s="2" t="inlineStr">
        <is>
          <t>Expanding to real users, tools, deployment and downstream consequences may alter inference; case-specific coding required.</t>
        </is>
      </c>
      <c r="Z9" s="2" t="inlineStr">
        <is>
          <t>Prompt-injection threat -&gt; control/data-flow separation -&gt; secure agent architecture -&gt; benchmark/security guarantee -&gt; safer deployment</t>
        </is>
      </c>
      <c r="AA9" s="2" t="inlineStr">
        <is>
          <t>https://arxiv.org/abs/2503.18813</t>
        </is>
      </c>
      <c r="AB9" s="2" t="inlineStr">
        <is>
          <t>https://www.schmidtsciences.org/profile-2025/florian-tramer/</t>
        </is>
      </c>
      <c r="AC9" s="2" t="inlineStr">
        <is>
          <t>https://arxiv.org/pdf/2503.18813</t>
        </is>
      </c>
      <c r="AD9" s="2" t="inlineStr">
        <is>
          <t>Not locally archived in this runtime; canonical full-text link captured</t>
        </is>
      </c>
      <c r="AE9" s="2" t="inlineStr">
        <is>
          <t>Schmidt project/publication page + paper</t>
        </is>
      </c>
      <c r="AF9" s="2" t="inlineStr">
        <is>
          <t>Useful counterexample to purely proxy-based eval work: intervention is tied to a concrete control-flow threat model.</t>
        </is>
      </c>
    </row>
    <row r="10">
      <c r="A10" s="2" t="inlineStr">
        <is>
          <t>P09</t>
        </is>
      </c>
      <c r="B10" s="2" t="inlineStr">
        <is>
          <t>Schmidt Sciences</t>
        </is>
      </c>
      <c r="C10" s="2" t="inlineStr">
        <is>
          <t>Science of Trustworthy AI</t>
        </is>
      </c>
      <c r="D10" s="2" t="inlineStr">
        <is>
          <t>2025-2026</t>
        </is>
      </c>
      <c r="E10" s="2" t="inlineStr">
        <is>
          <t>FAR.AI / Kellin Pelrine &amp; collaborators</t>
        </is>
      </c>
      <c r="F10" s="2" t="inlineStr">
        <is>
          <t>AI-driven deception and disinformation research program</t>
        </is>
      </c>
      <c r="G10" s="2" t="inlineStr">
        <is>
          <t>Funded research project</t>
        </is>
      </c>
      <c r="H10" s="2" t="inlineStr">
        <is>
          <t>Direct grantee page</t>
        </is>
      </c>
      <c r="I10" s="2" t="inlineStr">
        <is>
          <t>To be coded from explicit source acknowledgements</t>
        </is>
      </c>
      <c r="J10" s="2" t="inlineStr">
        <is>
          <t>Record stated funder/recipient mission from primary organizational sources during scaled coding; do not infer bias from mission alignment.</t>
        </is>
      </c>
      <c r="K10" s="2" t="inlineStr">
        <is>
          <t>Not systematically coded in v1 pilot; v1.1 requires source-level disclosure review during full-text coding.</t>
        </is>
      </c>
      <c r="L10" s="2" t="inlineStr">
        <is>
          <t>AI deception, disinformation, persuasion vulnerabilities</t>
        </is>
      </c>
      <c r="M10" s="2" t="inlineStr">
        <is>
          <t>Deception/disinformation risk and mitigations</t>
        </is>
      </c>
      <c r="N10" s="2" t="inlineStr">
        <is>
          <t>Project description promises realistic data, rigorous experimentation, mitigations and platform development</t>
        </is>
      </c>
      <c r="O10" s="2" t="inlineStr">
        <is>
          <t>Project-level; individual outputs need lineage tracing</t>
        </is>
      </c>
      <c r="P10" s="2" t="inlineStr">
        <is>
          <t>model-only</t>
        </is>
      </c>
      <c r="Q10" s="2" t="inlineStr">
        <is>
          <t>Likely human-AI / model / sociotechnical, output dependent</t>
        </is>
      </c>
      <c r="R10" s="2" t="inlineStr">
        <is>
          <t>Assess risks, develop mitigations, provide platform for future action</t>
        </is>
      </c>
      <c r="S10" s="2" t="inlineStr">
        <is>
          <t>Not attributable from grantee page alone</t>
        </is>
      </c>
      <c r="T10" s="2" t="inlineStr">
        <is>
          <t>Compare author_claim with direct_demonstration; broader downstream security claims require explicit linkage evidence.</t>
        </is>
      </c>
      <c r="U10" s="2" t="inlineStr">
        <is>
          <t>To be determined from linked publications</t>
        </is>
      </c>
      <c r="V10" s="2" t="inlineStr">
        <is>
          <t>Consequential security outcome implied by theory chain</t>
        </is>
      </c>
      <c r="W10" s="2" t="inlineStr">
        <is>
          <t>To be coded per output</t>
        </is>
      </c>
      <c r="X10" s="2" t="inlineStr">
        <is>
          <t>high</t>
        </is>
      </c>
      <c r="Y10" s="2" t="inlineStr">
        <is>
          <t>Expanding to real users, tools, deployment and downstream consequences may alter inference; case-specific coding required.</t>
        </is>
      </c>
      <c r="Z10" s="2" t="inlineStr">
        <is>
          <t>Deception/disinfo concern -&gt; funded research program -&gt; evaluations/mitigations -&gt; intended trustworthy AI impact</t>
        </is>
      </c>
      <c r="AA10" s="2" t="inlineStr">
        <is>
          <t>https://www.schmidtsciences.org/grantee/kellin-pelrine/</t>
        </is>
      </c>
      <c r="AB10" s="2" t="inlineStr">
        <is>
          <t>https://www.schmidtsciences.org/trustworthy-ai/</t>
        </is>
      </c>
      <c r="AC10" s="2" t="inlineStr">
        <is>
          <t>https://www.schmidtsciences.org/grantee/kellin-pelrine/</t>
        </is>
      </c>
      <c r="AD10" s="2" t="inlineStr">
        <is>
          <t>Official project page link captured</t>
        </is>
      </c>
      <c r="AE10" s="2" t="inlineStr">
        <is>
          <t>Schmidt grantee page</t>
        </is>
      </c>
      <c r="AF10" s="2" t="inlineStr">
        <is>
          <t>Lineage case: same researcher ecosystem intersects Schmidt and CSET/FAR.AI work; do not assume a specific paper was funded unless acknowledgement confirms it.</t>
        </is>
      </c>
    </row>
    <row r="11">
      <c r="A11" s="2" t="inlineStr">
        <is>
          <t>P10</t>
        </is>
      </c>
      <c r="B11" s="2" t="inlineStr">
        <is>
          <t>Survival and Flourishing Fund</t>
        </is>
      </c>
      <c r="C11" s="2" t="inlineStr">
        <is>
          <t>SFF-2025</t>
        </is>
      </c>
      <c r="D11" s="2" t="inlineStr">
        <is>
          <t>2025</t>
        </is>
      </c>
      <c r="E11" s="2" t="inlineStr">
        <is>
          <t>SecureBio</t>
        </is>
      </c>
      <c r="F11" s="2" t="inlineStr">
        <is>
          <t>General support of SecureBio</t>
        </is>
      </c>
      <c r="G11" s="2" t="inlineStr">
        <is>
          <t>Organizational grant</t>
        </is>
      </c>
      <c r="H11" s="2" t="inlineStr">
        <is>
          <t>General organizational support only; no paper-level attribution justified</t>
        </is>
      </c>
      <c r="I11" s="2" t="inlineStr">
        <is>
          <t>To be coded from explicit source acknowledgements</t>
        </is>
      </c>
      <c r="J11" s="2" t="inlineStr">
        <is>
          <t>Record stated funder/recipient mission from primary organizational sources during scaled coding; do not infer bias from mission alignment.</t>
        </is>
      </c>
      <c r="K11" s="2" t="inlineStr">
        <is>
          <t>Not systematically coded in v1 pilot; v1.1 requires source-level disclosure review during full-text coding.</t>
        </is>
      </c>
      <c r="L11" s="2" t="inlineStr">
        <is>
          <t>Broad biosecurity / AI-bio risk work of recipient</t>
        </is>
      </c>
      <c r="M11" s="2" t="inlineStr">
        <is>
          <t>N/A at grant level</t>
        </is>
      </c>
      <c r="N11" s="2" t="inlineStr">
        <is>
          <t>N/A</t>
        </is>
      </c>
      <c r="O11" s="2" t="inlineStr">
        <is>
          <t>Funding record</t>
        </is>
      </c>
      <c r="P11" s="2" t="inlineStr">
        <is>
          <t>model-only</t>
        </is>
      </c>
      <c r="Q11" s="2" t="inlineStr">
        <is>
          <t>N/A</t>
        </is>
      </c>
      <c r="R11" s="2" t="inlineStr">
        <is>
          <t>SFF recommended $754,000 general support (per public grants page)</t>
        </is>
      </c>
      <c r="S11" s="2" t="inlineStr">
        <is>
          <t>Funding relationship only</t>
        </is>
      </c>
      <c r="T11" s="2" t="inlineStr">
        <is>
          <t>Compare author_claim with direct_demonstration; broader downstream security claims require explicit linkage evidence.</t>
        </is>
      </c>
      <c r="U11" s="2" t="inlineStr">
        <is>
          <t>N/A</t>
        </is>
      </c>
      <c r="V11" s="2" t="inlineStr">
        <is>
          <t>Consequential security outcome implied by theory chain</t>
        </is>
      </c>
      <c r="W11" s="2" t="inlineStr">
        <is>
          <t>Cannot attribute particular SecureBio paper/output to this grant without direct acknowledgement</t>
        </is>
      </c>
      <c r="X11" s="2" t="inlineStr">
        <is>
          <t>unknown</t>
        </is>
      </c>
      <c r="Y11" s="2" t="inlineStr">
        <is>
          <t>Expanding to real users, tools, deployment and downstream consequences may alter inference; case-specific coding required.</t>
        </is>
      </c>
      <c r="Z11" s="2" t="inlineStr">
        <is>
          <t>Funder worldview -&gt; organizational support -&gt; portfolio of research/operations -&gt; downstream outputs (requires lineage tracing)</t>
        </is>
      </c>
      <c r="AA11" s="2" t="inlineStr">
        <is>
          <t>https://survivalandflourishing.fund/recommendations</t>
        </is>
      </c>
      <c r="AB11" s="2" t="inlineStr">
        <is>
          <t>https://survivalandflourishing.fund/recommendations</t>
        </is>
      </c>
      <c r="AC11" s="2" t="inlineStr">
        <is>
          <t>https://survivalandflourishing.fund/recommendations</t>
        </is>
      </c>
      <c r="AD11" s="2" t="inlineStr">
        <is>
          <t>Official grants page link captured</t>
        </is>
      </c>
      <c r="AE11" s="2" t="inlineStr">
        <is>
          <t>SFF grants page</t>
        </is>
      </c>
      <c r="AF11" s="2" t="inlineStr">
        <is>
          <t>Important negative-control style case for funding attribution strength; must not overclaim paper-level causality.</t>
        </is>
      </c>
    </row>
    <row r="12">
      <c r="A12" s="2" t="inlineStr">
        <is>
          <t>P11</t>
        </is>
      </c>
      <c r="B12" s="2" t="inlineStr">
        <is>
          <t>AI Safety Fund / Frontier Model Forum</t>
        </is>
      </c>
      <c r="C12" s="2" t="inlineStr">
        <is>
          <t>Round Two AI Safety Fund grants</t>
        </is>
      </c>
      <c r="D12" s="2" t="inlineStr">
        <is>
          <t>2025</t>
        </is>
      </c>
      <c r="E12" s="2" t="inlineStr">
        <is>
          <t>Apollo Research</t>
        </is>
      </c>
      <c r="F12" s="2" t="inlineStr">
        <is>
          <t>Building black box scheming monitors for frontier AI agents</t>
        </is>
      </c>
      <c r="G12" s="2" t="inlineStr">
        <is>
          <t>Funded research project</t>
        </is>
      </c>
      <c r="H12" s="2" t="inlineStr">
        <is>
          <t>Direct project-specific AISF grant</t>
        </is>
      </c>
      <c r="I12" s="2" t="inlineStr">
        <is>
          <t>AISF supported by frontier labs and philanthropic partners</t>
        </is>
      </c>
      <c r="J12" s="2" t="inlineStr">
        <is>
          <t>AI safety organization focused on model evaluation and control</t>
        </is>
      </c>
      <c r="K12" s="2" t="inlineStr">
        <is>
          <t>Not established from funder announcement</t>
        </is>
      </c>
      <c r="L12" s="2" t="inlineStr">
        <is>
          <t>Scheming or deceptive agent behavior evading oversight</t>
        </is>
      </c>
      <c r="M12" s="2" t="inlineStr">
        <is>
          <t>Detectability of scheming behavior from black-box interaction</t>
        </is>
      </c>
      <c r="N12" s="2" t="inlineStr">
        <is>
          <t>Monitor performance on agent trajectories</t>
        </is>
      </c>
      <c r="O12" s="2" t="inlineStr">
        <is>
          <t>Planned/ongoing evaluation research</t>
        </is>
      </c>
      <c r="P12" s="2" t="inlineStr">
        <is>
          <t>agentic system</t>
        </is>
      </c>
      <c r="Q12" s="2" t="inlineStr">
        <is>
          <t>Frontier agents observed through external monitors</t>
        </is>
      </c>
      <c r="R12" s="2" t="inlineStr">
        <is>
          <t>Project aims to build practical black-box monitors for scheming</t>
        </is>
      </c>
      <c r="S12" s="2" t="inlineStr">
        <is>
          <t>No published result identified in this pass</t>
        </is>
      </c>
      <c r="T12" s="2" t="inlineStr">
        <is>
          <t>High (project announcement precedes empirical output)</t>
        </is>
      </c>
      <c r="U12" s="2" t="inlineStr">
        <is>
          <t>Project description only</t>
        </is>
      </c>
      <c r="V12" s="2" t="inlineStr">
        <is>
          <t>Detection of control-undermining behavior</t>
        </is>
      </c>
      <c r="W12" s="2" t="inlineStr">
        <is>
          <t>Not yet demonstrated</t>
        </is>
      </c>
      <c r="X12" s="2" t="inlineStr">
        <is>
          <t>High: conclusion depends on deployment context, observability and monitor access</t>
        </is>
      </c>
      <c r="Y12" s="2" t="inlineStr">
        <is>
          <t>Funder states goal, but operational validity depends on agent setting and available traces</t>
        </is>
      </c>
      <c r="Z12" s="2" t="inlineStr">
        <is>
          <t>Scheming threat -&gt; monitoring construct -&gt; black-box monitor -&gt; detection metric -&gt; deployment control</t>
        </is>
      </c>
      <c r="AA12" s="2" t="inlineStr">
        <is>
          <t>https://www.frontiermodelforum.org/updates/announcement-of-new-ai-safety-fund-grantees/</t>
        </is>
      </c>
      <c r="AB12" s="2" t="inlineStr">
        <is>
          <t>https://www.frontiermodelforum.org/ai-safety-fund/</t>
        </is>
      </c>
      <c r="AC12" s="2" t="inlineStr"/>
      <c r="AD12" s="2" t="inlineStr">
        <is>
          <t>No</t>
        </is>
      </c>
      <c r="AE12" s="2" t="inlineStr">
        <is>
          <t>Direct funder announcement</t>
        </is>
      </c>
      <c r="AF12" s="2" t="inlineStr">
        <is>
          <t>Planned project; retain as prospective funding observation</t>
        </is>
      </c>
    </row>
    <row r="13">
      <c r="A13" s="2" t="inlineStr">
        <is>
          <t>P12</t>
        </is>
      </c>
      <c r="B13" s="2" t="inlineStr">
        <is>
          <t>AI Safety Fund / Frontier Model Forum</t>
        </is>
      </c>
      <c r="C13" s="2" t="inlineStr">
        <is>
          <t>Round Two AI Safety Fund grants</t>
        </is>
      </c>
      <c r="D13" s="2" t="inlineStr">
        <is>
          <t>2025</t>
        </is>
      </c>
      <c r="E13" s="2" t="inlineStr">
        <is>
          <t>California Institute of Technology</t>
        </is>
      </c>
      <c r="F13" s="2" t="inlineStr">
        <is>
          <t>AI-driven Detection of Protein Mimetic Biothreats with BioSentinel</t>
        </is>
      </c>
      <c r="G13" s="2" t="inlineStr">
        <is>
          <t>Funded biosecurity project</t>
        </is>
      </c>
      <c r="H13" s="2" t="inlineStr">
        <is>
          <t>Direct project-specific AISF grant</t>
        </is>
      </c>
      <c r="I13" s="2" t="inlineStr">
        <is>
          <t>AISF supported by frontier labs and philanthropic partners</t>
        </is>
      </c>
      <c r="J13" s="2" t="inlineStr">
        <is>
          <t>Academic biosecurity / detection project</t>
        </is>
      </c>
      <c r="K13" s="2" t="inlineStr">
        <is>
          <t>Not established from funder announcement</t>
        </is>
      </c>
      <c r="L13" s="2" t="inlineStr">
        <is>
          <t>Protein mimetic biothreats may evade conventional detection</t>
        </is>
      </c>
      <c r="M13" s="2" t="inlineStr">
        <is>
          <t>Detection of AI-designed protein mimetics</t>
        </is>
      </c>
      <c r="N13" s="2" t="inlineStr">
        <is>
          <t>BioSentinel detection performance</t>
        </is>
      </c>
      <c r="O13" s="2" t="inlineStr">
        <is>
          <t>Planned/ongoing technical evaluation</t>
        </is>
      </c>
      <c r="P13" s="2" t="inlineStr">
        <is>
          <t>model+bioinformatics tool</t>
        </is>
      </c>
      <c r="Q13" s="2" t="inlineStr">
        <is>
          <t>Protein-design/detection pipeline</t>
        </is>
      </c>
      <c r="R13" s="2" t="inlineStr">
        <is>
          <t>Project aims to detect AI-generated or protein-mimetic biothreats</t>
        </is>
      </c>
      <c r="S13" s="2" t="inlineStr">
        <is>
          <t>No published result identified in this pass</t>
        </is>
      </c>
      <c r="T13" s="2" t="inlineStr">
        <is>
          <t>High</t>
        </is>
      </c>
      <c r="U13" s="2" t="inlineStr">
        <is>
          <t>Project description only</t>
        </is>
      </c>
      <c r="V13" s="2" t="inlineStr">
        <is>
          <t>Biological threat detection</t>
        </is>
      </c>
      <c r="W13" s="2" t="inlineStr">
        <is>
          <t>Not yet demonstrated</t>
        </is>
      </c>
      <c r="X13" s="2" t="inlineStr">
        <is>
          <t>Moderate-high: physical and biological realism may change conclusions</t>
        </is>
      </c>
      <c r="Y13" s="2" t="inlineStr">
        <is>
          <t>Detection efficacy depends on sequence/structure distributions and realistic adversarial designs</t>
        </is>
      </c>
      <c r="Z13" s="2" t="inlineStr">
        <is>
          <t>Protein-mimetic threat -&gt; detection construct -&gt; BioSentinel -&gt; classification/detection -&gt; biosecurity safeguard</t>
        </is>
      </c>
      <c r="AA13" s="2" t="inlineStr">
        <is>
          <t>https://www.frontiermodelforum.org/updates/announcement-of-new-ai-safety-fund-grantees/</t>
        </is>
      </c>
      <c r="AB13" s="2" t="inlineStr">
        <is>
          <t>https://www.frontiermodelforum.org/ai-safety-fund/</t>
        </is>
      </c>
      <c r="AC13" s="2" t="inlineStr"/>
      <c r="AD13" s="2" t="inlineStr">
        <is>
          <t>No</t>
        </is>
      </c>
      <c r="AE13" s="2" t="inlineStr">
        <is>
          <t>Direct funder announcement</t>
        </is>
      </c>
      <c r="AF13" s="2" t="inlineStr">
        <is>
          <t>Prospective record</t>
        </is>
      </c>
    </row>
    <row r="14">
      <c r="A14" s="2" t="inlineStr">
        <is>
          <t>P13</t>
        </is>
      </c>
      <c r="B14" s="2" t="inlineStr">
        <is>
          <t>AI Safety Fund / Frontier Model Forum</t>
        </is>
      </c>
      <c r="C14" s="2" t="inlineStr">
        <is>
          <t>Round Two AI Safety Fund grants</t>
        </is>
      </c>
      <c r="D14" s="2" t="inlineStr">
        <is>
          <t>2025</t>
        </is>
      </c>
      <c r="E14" s="2" t="inlineStr">
        <is>
          <t>Institute for Decentralized AI / Cosmos Institute</t>
        </is>
      </c>
      <c r="F14" s="2" t="inlineStr">
        <is>
          <t>Scalable, Decentralized Oversight for Multi-Agent Networks</t>
        </is>
      </c>
      <c r="G14" s="2" t="inlineStr">
        <is>
          <t>Funded research project</t>
        </is>
      </c>
      <c r="H14" s="2" t="inlineStr">
        <is>
          <t>Direct project-specific AISF grant</t>
        </is>
      </c>
      <c r="I14" s="2" t="inlineStr">
        <is>
          <t>AISF supported by frontier labs and philanthropic partners</t>
        </is>
      </c>
      <c r="J14" s="2" t="inlineStr">
        <is>
          <t>Research organization focused on decentralized AI systems</t>
        </is>
      </c>
      <c r="K14" s="2" t="inlineStr">
        <is>
          <t>Not established from funder announcement</t>
        </is>
      </c>
      <c r="L14" s="2" t="inlineStr">
        <is>
          <t>Emergent risk in multi-agent systems</t>
        </is>
      </c>
      <c r="M14" s="2" t="inlineStr">
        <is>
          <t>Scalable oversight of interacting agents</t>
        </is>
      </c>
      <c r="N14" s="2" t="inlineStr">
        <is>
          <t>Oversight effectiveness in multi-agent network</t>
        </is>
      </c>
      <c r="O14" s="2" t="inlineStr">
        <is>
          <t>Planned/ongoing evaluation research</t>
        </is>
      </c>
      <c r="P14" s="2" t="inlineStr">
        <is>
          <t>multi-agent</t>
        </is>
      </c>
      <c r="Q14" s="2" t="inlineStr">
        <is>
          <t>Networked agent setting</t>
        </is>
      </c>
      <c r="R14" s="2" t="inlineStr">
        <is>
          <t>Project aims to develop scalable decentralized oversight</t>
        </is>
      </c>
      <c r="S14" s="2" t="inlineStr">
        <is>
          <t>No published result identified in this pass</t>
        </is>
      </c>
      <c r="T14" s="2" t="inlineStr">
        <is>
          <t>High</t>
        </is>
      </c>
      <c r="U14" s="2" t="inlineStr">
        <is>
          <t>Project description only</t>
        </is>
      </c>
      <c r="V14" s="2" t="inlineStr">
        <is>
          <t>Multi-agent safety/control</t>
        </is>
      </c>
      <c r="W14" s="2" t="inlineStr">
        <is>
          <t>Not yet demonstrated</t>
        </is>
      </c>
      <c r="X14" s="2" t="inlineStr">
        <is>
          <t>High: network topology, incentives and communication strongly affect outcomes</t>
        </is>
      </c>
      <c r="Y14" s="2" t="inlineStr">
        <is>
          <t>System-level properties are likely configuration dependent</t>
        </is>
      </c>
      <c r="Z14" s="2" t="inlineStr">
        <is>
          <t>Multi-agent risk -&gt; oversight construct -&gt; decentralized oversight -&gt; detection/control -&gt; system safety</t>
        </is>
      </c>
      <c r="AA14" s="2" t="inlineStr">
        <is>
          <t>https://www.frontiermodelforum.org/updates/announcement-of-new-ai-safety-fund-grantees/</t>
        </is>
      </c>
      <c r="AB14" s="2" t="inlineStr">
        <is>
          <t>https://www.frontiermodelforum.org/ai-safety-fund/</t>
        </is>
      </c>
      <c r="AC14" s="2" t="inlineStr"/>
      <c r="AD14" s="2" t="inlineStr">
        <is>
          <t>No</t>
        </is>
      </c>
      <c r="AE14" s="2" t="inlineStr">
        <is>
          <t>Direct funder announcement</t>
        </is>
      </c>
      <c r="AF14" s="2" t="inlineStr">
        <is>
          <t>Prospective record</t>
        </is>
      </c>
    </row>
    <row r="15">
      <c r="A15" s="2" t="inlineStr">
        <is>
          <t>P14</t>
        </is>
      </c>
      <c r="B15" s="2" t="inlineStr">
        <is>
          <t>AI Safety Fund / Frontier Model Forum</t>
        </is>
      </c>
      <c r="C15" s="2" t="inlineStr">
        <is>
          <t>Round Two AI Safety Fund grants</t>
        </is>
      </c>
      <c r="D15" s="2" t="inlineStr">
        <is>
          <t>2025</t>
        </is>
      </c>
      <c r="E15" s="2" t="inlineStr">
        <is>
          <t>Faculty AI</t>
        </is>
      </c>
      <c r="F15" s="2" t="inlineStr">
        <is>
          <t>Automated Red-Teaming for Biosecurity Risks</t>
        </is>
      </c>
      <c r="G15" s="2" t="inlineStr">
        <is>
          <t>Funded biosecurity evaluation project</t>
        </is>
      </c>
      <c r="H15" s="2" t="inlineStr">
        <is>
          <t>Direct project-specific AISF grant</t>
        </is>
      </c>
      <c r="I15" s="2" t="inlineStr">
        <is>
          <t>AISF supported by frontier labs and philanthropic partners</t>
        </is>
      </c>
      <c r="J15" s="2" t="inlineStr">
        <is>
          <t>Applied AI evaluation organization</t>
        </is>
      </c>
      <c r="K15" s="2" t="inlineStr">
        <is>
          <t>Not established from funder announcement</t>
        </is>
      </c>
      <c r="L15" s="2" t="inlineStr">
        <is>
          <t>Frontier models may expose biosecurity-relevant capabilities</t>
        </is>
      </c>
      <c r="M15" s="2" t="inlineStr">
        <is>
          <t>Automated discovery of biosecurity failure modes</t>
        </is>
      </c>
      <c r="N15" s="2" t="inlineStr">
        <is>
          <t>Automated red-team success / discovered vulnerabilities</t>
        </is>
      </c>
      <c r="O15" s="2" t="inlineStr">
        <is>
          <t>Planned/ongoing evaluation research</t>
        </is>
      </c>
      <c r="P15" s="2" t="inlineStr">
        <is>
          <t>model/agent</t>
        </is>
      </c>
      <c r="Q15" s="2" t="inlineStr">
        <is>
          <t>Automated red-team over biosecurity-relevant model behaviors</t>
        </is>
      </c>
      <c r="R15" s="2" t="inlineStr">
        <is>
          <t>Project aims to automate red-teaming for biosecurity risks</t>
        </is>
      </c>
      <c r="S15" s="2" t="inlineStr">
        <is>
          <t>No published result identified in this pass</t>
        </is>
      </c>
      <c r="T15" s="2" t="inlineStr">
        <is>
          <t>High</t>
        </is>
      </c>
      <c r="U15" s="2" t="inlineStr">
        <is>
          <t>Project description only</t>
        </is>
      </c>
      <c r="V15" s="2" t="inlineStr">
        <is>
          <t>Biosecurity evaluation coverage</t>
        </is>
      </c>
      <c r="W15" s="2" t="inlineStr">
        <is>
          <t>Not yet demonstrated</t>
        </is>
      </c>
      <c r="X15" s="2" t="inlineStr">
        <is>
          <t>High: red-team findings may depend on threat model and access configuration</t>
        </is>
      </c>
      <c r="Y15" s="2" t="inlineStr">
        <is>
          <t>Automated red-teaming -&gt; discovered behavior -&gt; inferred bio risk requires downstream validation</t>
        </is>
      </c>
      <c r="Z15" s="2" t="inlineStr">
        <is>
          <t>Bio threat -&gt; red-team construct -&gt; automated adversarial testing -&gt; failures -&gt; mitigation/evaluation signal</t>
        </is>
      </c>
      <c r="AA15" s="2" t="inlineStr">
        <is>
          <t>https://www.frontiermodelforum.org/updates/announcement-of-new-ai-safety-fund-grantees/</t>
        </is>
      </c>
      <c r="AB15" s="2" t="inlineStr">
        <is>
          <t>https://www.frontiermodelforum.org/ai-safety-fund/</t>
        </is>
      </c>
      <c r="AC15" s="2" t="inlineStr"/>
      <c r="AD15" s="2" t="inlineStr">
        <is>
          <t>No</t>
        </is>
      </c>
      <c r="AE15" s="2" t="inlineStr">
        <is>
          <t>Direct funder announcement</t>
        </is>
      </c>
      <c r="AF15" s="2" t="inlineStr">
        <is>
          <t>Prospective record</t>
        </is>
      </c>
    </row>
    <row r="16">
      <c r="A16" s="2" t="inlineStr">
        <is>
          <t>P15</t>
        </is>
      </c>
      <c r="B16" s="2" t="inlineStr">
        <is>
          <t>AI Safety Fund / Frontier Model Forum</t>
        </is>
      </c>
      <c r="C16" s="2" t="inlineStr">
        <is>
          <t>Round Two AI Safety Fund grants</t>
        </is>
      </c>
      <c r="D16" s="2" t="inlineStr">
        <is>
          <t>2025</t>
        </is>
      </c>
      <c r="E16" s="2" t="inlineStr">
        <is>
          <t>FAR.AI</t>
        </is>
      </c>
      <c r="F16" s="2" t="inlineStr">
        <is>
          <t>Quantifying the Safety-Adversary Gap in Large Language Models</t>
        </is>
      </c>
      <c r="G16" s="2" t="inlineStr">
        <is>
          <t>Funded evaluation project</t>
        </is>
      </c>
      <c r="H16" s="2" t="inlineStr">
        <is>
          <t>Direct project-specific AISF grant</t>
        </is>
      </c>
      <c r="I16" s="2" t="inlineStr">
        <is>
          <t>FAR.AI also supported by other AI-safety funders</t>
        </is>
      </c>
      <c r="J16" s="2" t="inlineStr">
        <is>
          <t>AI safety research organization</t>
        </is>
      </c>
      <c r="K16" s="2" t="inlineStr">
        <is>
          <t>Not established from funder announcement</t>
        </is>
      </c>
      <c r="L16" s="2" t="inlineStr">
        <is>
          <t>Adversarial capability may outpace safety mechanisms</t>
        </is>
      </c>
      <c r="M16" s="2" t="inlineStr">
        <is>
          <t>Gap between model attack capability and defensive/safety capability</t>
        </is>
      </c>
      <c r="N16" s="2" t="inlineStr">
        <is>
          <t>Comparative safety-adversary performance</t>
        </is>
      </c>
      <c r="O16" s="2" t="inlineStr">
        <is>
          <t>Planned/ongoing evaluation research</t>
        </is>
      </c>
      <c r="P16" s="2" t="inlineStr">
        <is>
          <t>model/agent</t>
        </is>
      </c>
      <c r="Q16" s="2" t="inlineStr">
        <is>
          <t>Comparative offensive-vs-defensive evaluation</t>
        </is>
      </c>
      <c r="R16" s="2" t="inlineStr">
        <is>
          <t>Project aims to quantify safety-adversary gap</t>
        </is>
      </c>
      <c r="S16" s="2" t="inlineStr">
        <is>
          <t>No published result identified in this pass</t>
        </is>
      </c>
      <c r="T16" s="2" t="inlineStr">
        <is>
          <t>High</t>
        </is>
      </c>
      <c r="U16" s="2" t="inlineStr">
        <is>
          <t>Project description only</t>
        </is>
      </c>
      <c r="V16" s="2" t="inlineStr">
        <is>
          <t>Safety margin</t>
        </is>
      </c>
      <c r="W16" s="2" t="inlineStr">
        <is>
          <t>Not yet demonstrated</t>
        </is>
      </c>
      <c r="X16" s="2" t="inlineStr">
        <is>
          <t>Moderate-high: gap may shift with tools, scaffolds and environment</t>
        </is>
      </c>
      <c r="Y16" s="2" t="inlineStr">
        <is>
          <t>System configuration could change both attacker and defender capabilities</t>
        </is>
      </c>
      <c r="Z16" s="2" t="inlineStr">
        <is>
          <t>Adversarial capability -&gt; gap construct -&gt; comparative evaluation -&gt; safety margin -&gt; deployment decision</t>
        </is>
      </c>
      <c r="AA16" s="2" t="inlineStr">
        <is>
          <t>https://www.frontiermodelforum.org/updates/announcement-of-new-ai-safety-fund-grantees/</t>
        </is>
      </c>
      <c r="AB16" s="2" t="inlineStr">
        <is>
          <t>https://www.frontiermodelforum.org/ai-safety-fund/</t>
        </is>
      </c>
      <c r="AC16" s="2" t="inlineStr"/>
      <c r="AD16" s="2" t="inlineStr">
        <is>
          <t>No</t>
        </is>
      </c>
      <c r="AE16" s="2" t="inlineStr">
        <is>
          <t>Direct funder announcement</t>
        </is>
      </c>
      <c r="AF16" s="2" t="inlineStr">
        <is>
          <t>Prospective record</t>
        </is>
      </c>
    </row>
    <row r="17">
      <c r="A17" s="2" t="inlineStr">
        <is>
          <t>P16</t>
        </is>
      </c>
      <c r="B17" s="2" t="inlineStr">
        <is>
          <t>AI Safety Fund / Frontier Model Forum</t>
        </is>
      </c>
      <c r="C17" s="2" t="inlineStr">
        <is>
          <t>Round Two AI Safety Fund grants</t>
        </is>
      </c>
      <c r="D17" s="2" t="inlineStr">
        <is>
          <t>2025</t>
        </is>
      </c>
      <c r="E17" s="2" t="inlineStr">
        <is>
          <t>FutureHouse, Inc.</t>
        </is>
      </c>
      <c r="F17" s="2" t="inlineStr">
        <is>
          <t>Pioneering AI-Driven Experimental Design: Benchmarks for Responsible Innovation</t>
        </is>
      </c>
      <c r="G17" s="2" t="inlineStr">
        <is>
          <t>Funded biology evaluation project</t>
        </is>
      </c>
      <c r="H17" s="2" t="inlineStr">
        <is>
          <t>Direct project-specific AISF grant</t>
        </is>
      </c>
      <c r="I17" s="2" t="inlineStr">
        <is>
          <t>AISF supported by frontier labs and philanthropic partners</t>
        </is>
      </c>
      <c r="J17" s="2" t="inlineStr">
        <is>
          <t>AI-for-science research organization</t>
        </is>
      </c>
      <c r="K17" s="2" t="inlineStr">
        <is>
          <t>Not established from funder announcement</t>
        </is>
      </c>
      <c r="L17" s="2" t="inlineStr">
        <is>
          <t>AI scientific agents may increase biological R&amp;D capability</t>
        </is>
      </c>
      <c r="M17" s="2" t="inlineStr">
        <is>
          <t>Experimental-design capability</t>
        </is>
      </c>
      <c r="N17" s="2" t="inlineStr">
        <is>
          <t>Performance on expert-designed experimental-design tasks</t>
        </is>
      </c>
      <c r="O17" s="2" t="inlineStr">
        <is>
          <t>Planned/ongoing benchmark research</t>
        </is>
      </c>
      <c r="P17" s="2" t="inlineStr">
        <is>
          <t>agentic scientific system</t>
        </is>
      </c>
      <c r="Q17" s="2" t="inlineStr">
        <is>
          <t>AI agent designing biological experiments</t>
        </is>
      </c>
      <c r="R17" s="2" t="inlineStr">
        <is>
          <t>Project aims to benchmark AI-driven experimental design</t>
        </is>
      </c>
      <c r="S17" s="2" t="inlineStr">
        <is>
          <t>No published result identified in this pass</t>
        </is>
      </c>
      <c r="T17" s="2" t="inlineStr">
        <is>
          <t>High</t>
        </is>
      </c>
      <c r="U17" s="2" t="inlineStr">
        <is>
          <t>Project description only</t>
        </is>
      </c>
      <c r="V17" s="2" t="inlineStr">
        <is>
          <t>AI-bio capability uplift / responsible innovation</t>
        </is>
      </c>
      <c r="W17" s="2" t="inlineStr">
        <is>
          <t>Not yet demonstrated</t>
        </is>
      </c>
      <c r="X17" s="2" t="inlineStr">
        <is>
          <t>High: benchmark-to-wet-lab transfer is central uncertainty</t>
        </is>
      </c>
      <c r="Y17" s="2" t="inlineStr">
        <is>
          <t>Experimental design quality may not predict execution success or biological outcome</t>
        </is>
      </c>
      <c r="Z17" s="2" t="inlineStr">
        <is>
          <t>Bio R&amp;D capability -&gt; experimental-design construct -&gt; benchmark -&gt; inferred uplift -&gt; governance signal</t>
        </is>
      </c>
      <c r="AA17" s="2" t="inlineStr">
        <is>
          <t>https://www.frontiermodelforum.org/updates/announcement-of-new-ai-safety-fund-grantees/</t>
        </is>
      </c>
      <c r="AB17" s="2" t="inlineStr">
        <is>
          <t>https://www.frontiermodelforum.org/ai-safety-fund/</t>
        </is>
      </c>
      <c r="AC17" s="2" t="inlineStr"/>
      <c r="AD17" s="2" t="inlineStr">
        <is>
          <t>No</t>
        </is>
      </c>
      <c r="AE17" s="2" t="inlineStr">
        <is>
          <t>Direct funder announcement</t>
        </is>
      </c>
      <c r="AF17" s="2" t="inlineStr">
        <is>
          <t>Prospective record</t>
        </is>
      </c>
    </row>
    <row r="18">
      <c r="A18" s="2" t="inlineStr">
        <is>
          <t>P17</t>
        </is>
      </c>
      <c r="B18" s="2" t="inlineStr">
        <is>
          <t>AI Safety Fund / Frontier Model Forum</t>
        </is>
      </c>
      <c r="C18" s="2" t="inlineStr">
        <is>
          <t>Round Two AI Safety Fund grants</t>
        </is>
      </c>
      <c r="D18" s="2" t="inlineStr">
        <is>
          <t>2025</t>
        </is>
      </c>
      <c r="E18" s="2" t="inlineStr">
        <is>
          <t>Morgan State University</t>
        </is>
      </c>
      <c r="F18" s="2" t="inlineStr">
        <is>
          <t>Evaluating AI-Assisted Cybersecurity Operations: Comparative Analysis of Human Performance with and without AI Tools</t>
        </is>
      </c>
      <c r="G18" s="2" t="inlineStr">
        <is>
          <t>Funded human-uplift study</t>
        </is>
      </c>
      <c r="H18" s="2" t="inlineStr">
        <is>
          <t>Direct project-specific AISF grant</t>
        </is>
      </c>
      <c r="I18" s="2" t="inlineStr">
        <is>
          <t>AISF supported by frontier labs and philanthropic partners</t>
        </is>
      </c>
      <c r="J18" s="2" t="inlineStr">
        <is>
          <t>Academic cybersecurity research</t>
        </is>
      </c>
      <c r="K18" s="2" t="inlineStr">
        <is>
          <t>Not established from funder announcement</t>
        </is>
      </c>
      <c r="L18" s="2" t="inlineStr">
        <is>
          <t>AI assistance may change operational cyber capability</t>
        </is>
      </c>
      <c r="M18" s="2" t="inlineStr">
        <is>
          <t>Human performance uplift from AI tools</t>
        </is>
      </c>
      <c r="N18" s="2" t="inlineStr">
        <is>
          <t>Human task performance with vs without AI</t>
        </is>
      </c>
      <c r="O18" s="2" t="inlineStr">
        <is>
          <t>Planned/ongoing human study</t>
        </is>
      </c>
      <c r="P18" s="2" t="inlineStr">
        <is>
          <t>human+AI</t>
        </is>
      </c>
      <c r="Q18" s="2" t="inlineStr">
        <is>
          <t>Cybersecurity operators using AI tools</t>
        </is>
      </c>
      <c r="R18" s="2" t="inlineStr">
        <is>
          <t>Project aims to compare human cyber performance with/without AI</t>
        </is>
      </c>
      <c r="S18" s="2" t="inlineStr">
        <is>
          <t>No published result identified in this pass</t>
        </is>
      </c>
      <c r="T18" s="2" t="inlineStr">
        <is>
          <t>Moderate</t>
        </is>
      </c>
      <c r="U18" s="2" t="inlineStr">
        <is>
          <t>Project description only</t>
        </is>
      </c>
      <c r="V18" s="2" t="inlineStr">
        <is>
          <t>Cyber operational capability/risk</t>
        </is>
      </c>
      <c r="W18" s="2" t="inlineStr">
        <is>
          <t>Not yet demonstrated</t>
        </is>
      </c>
      <c r="X18" s="2" t="inlineStr">
        <is>
          <t>High: team context and task realism may strongly affect uplift</t>
        </is>
      </c>
      <c r="Y18" s="2" t="inlineStr">
        <is>
          <t>Human-AI coupling is the evaluated unit, not model-alone capability</t>
        </is>
      </c>
      <c r="Z18" s="2" t="inlineStr">
        <is>
          <t>Cyber task -&gt; uplift construct -&gt; comparative human study -&gt; capability change -&gt; risk implication</t>
        </is>
      </c>
      <c r="AA18" s="2" t="inlineStr">
        <is>
          <t>https://www.frontiermodelforum.org/updates/announcement-of-new-ai-safety-fund-grantees/</t>
        </is>
      </c>
      <c r="AB18" s="2" t="inlineStr">
        <is>
          <t>https://www.frontiermodelforum.org/ai-safety-fund/</t>
        </is>
      </c>
      <c r="AC18" s="2" t="inlineStr"/>
      <c r="AD18" s="2" t="inlineStr">
        <is>
          <t>No</t>
        </is>
      </c>
      <c r="AE18" s="2" t="inlineStr">
        <is>
          <t>Direct funder announcement</t>
        </is>
      </c>
      <c r="AF18" s="2" t="inlineStr">
        <is>
          <t>Prospective record</t>
        </is>
      </c>
    </row>
    <row r="19">
      <c r="A19" s="2" t="inlineStr">
        <is>
          <t>P18</t>
        </is>
      </c>
      <c r="B19" s="2" t="inlineStr">
        <is>
          <t>AI Safety Fund / Frontier Model Forum</t>
        </is>
      </c>
      <c r="C19" s="2" t="inlineStr">
        <is>
          <t>Round Two AI Safety Fund grants</t>
        </is>
      </c>
      <c r="D19" s="2" t="inlineStr">
        <is>
          <t>2025</t>
        </is>
      </c>
      <c r="E19" s="2" t="inlineStr">
        <is>
          <t>Nemesys Insights LLC</t>
        </is>
      </c>
      <c r="F19" s="2" t="inlineStr">
        <is>
          <t>ICS Benchmark and Human Uplift Study</t>
        </is>
      </c>
      <c r="G19" s="2" t="inlineStr">
        <is>
          <t>Funded cyber evaluation project</t>
        </is>
      </c>
      <c r="H19" s="2" t="inlineStr">
        <is>
          <t>Direct project-specific AISF grant</t>
        </is>
      </c>
      <c r="I19" s="2" t="inlineStr">
        <is>
          <t>AISF supported by frontier labs and philanthropic partners</t>
        </is>
      </c>
      <c r="J19" s="2" t="inlineStr">
        <is>
          <t>Cybersecurity evaluation organization</t>
        </is>
      </c>
      <c r="K19" s="2" t="inlineStr">
        <is>
          <t>Not established from funder announcement</t>
        </is>
      </c>
      <c r="L19" s="2" t="inlineStr">
        <is>
          <t>AI may increase capability against industrial control systems</t>
        </is>
      </c>
      <c r="M19" s="2" t="inlineStr">
        <is>
          <t>ICS cyber capability and human uplift</t>
        </is>
      </c>
      <c r="N19" s="2" t="inlineStr">
        <is>
          <t>Benchmark success and comparative uplift</t>
        </is>
      </c>
      <c r="O19" s="2" t="inlineStr">
        <is>
          <t>Planned/ongoing evaluation study</t>
        </is>
      </c>
      <c r="P19" s="2" t="inlineStr">
        <is>
          <t>human+AI / agent</t>
        </is>
      </c>
      <c r="Q19" s="2" t="inlineStr">
        <is>
          <t>ICS tasks with benchmark and human comparison</t>
        </is>
      </c>
      <c r="R19" s="2" t="inlineStr">
        <is>
          <t>Project aims to assess ICS capability and uplift</t>
        </is>
      </c>
      <c r="S19" s="2" t="inlineStr">
        <is>
          <t>No published result identified in this pass</t>
        </is>
      </c>
      <c r="T19" s="2" t="inlineStr">
        <is>
          <t>High</t>
        </is>
      </c>
      <c r="U19" s="2" t="inlineStr">
        <is>
          <t>Project description only</t>
        </is>
      </c>
      <c r="V19" s="2" t="inlineStr">
        <is>
          <t>Critical-infrastructure cyber risk</t>
        </is>
      </c>
      <c r="W19" s="2" t="inlineStr">
        <is>
          <t>Not yet demonstrated</t>
        </is>
      </c>
      <c r="X19" s="2" t="inlineStr">
        <is>
          <t>High: realistic ICS environment and operator context likely matter</t>
        </is>
      </c>
      <c r="Y19" s="2" t="inlineStr">
        <is>
          <t>Benchmark score may not map directly to operational harm</t>
        </is>
      </c>
      <c r="Z19" s="2" t="inlineStr">
        <is>
          <t>ICS threat -&gt; capability construct -&gt; benchmark/uplift -&gt; inferred operational risk</t>
        </is>
      </c>
      <c r="AA19" s="2" t="inlineStr">
        <is>
          <t>https://www.frontiermodelforum.org/updates/announcement-of-new-ai-safety-fund-grantees/</t>
        </is>
      </c>
      <c r="AB19" s="2" t="inlineStr">
        <is>
          <t>https://www.frontiermodelforum.org/ai-safety-fund/</t>
        </is>
      </c>
      <c r="AC19" s="2" t="inlineStr"/>
      <c r="AD19" s="2" t="inlineStr">
        <is>
          <t>No</t>
        </is>
      </c>
      <c r="AE19" s="2" t="inlineStr">
        <is>
          <t>Direct funder announcement</t>
        </is>
      </c>
      <c r="AF19" s="2" t="inlineStr">
        <is>
          <t>Prospective record</t>
        </is>
      </c>
    </row>
    <row r="20">
      <c r="A20" s="2" t="inlineStr">
        <is>
          <t>P19</t>
        </is>
      </c>
      <c r="B20" s="2" t="inlineStr">
        <is>
          <t>AI Safety Fund / Frontier Model Forum</t>
        </is>
      </c>
      <c r="C20" s="2" t="inlineStr">
        <is>
          <t>Round Two AI Safety Fund grants</t>
        </is>
      </c>
      <c r="D20" s="2" t="inlineStr">
        <is>
          <t>2025</t>
        </is>
      </c>
      <c r="E20" s="2" t="inlineStr">
        <is>
          <t>SecureBio</t>
        </is>
      </c>
      <c r="F20" s="2" t="inlineStr">
        <is>
          <t>Evaluations to Assess Agent AIs’ Execution of Tasks That Could Enable Large-scale Harm</t>
        </is>
      </c>
      <c r="G20" s="2" t="inlineStr">
        <is>
          <t>Funded agent evaluation project</t>
        </is>
      </c>
      <c r="H20" s="2" t="inlineStr">
        <is>
          <t>Direct project-specific AISF grant</t>
        </is>
      </c>
      <c r="I20" s="2" t="inlineStr">
        <is>
          <t>SecureBio also receives other philanthropic support</t>
        </is>
      </c>
      <c r="J20" s="2" t="inlineStr">
        <is>
          <t>AI-biosecurity research organization</t>
        </is>
      </c>
      <c r="K20" s="2" t="inlineStr">
        <is>
          <t>Not established from funder announcement</t>
        </is>
      </c>
      <c r="L20" s="2" t="inlineStr">
        <is>
          <t>Agents may execute multi-step tasks relevant to large-scale harm</t>
        </is>
      </c>
      <c r="M20" s="2" t="inlineStr">
        <is>
          <t>End-to-end agent capability on harmful-enabling tasks</t>
        </is>
      </c>
      <c r="N20" s="2" t="inlineStr">
        <is>
          <t>Task execution success</t>
        </is>
      </c>
      <c r="O20" s="2" t="inlineStr">
        <is>
          <t>Planned/ongoing evaluation research</t>
        </is>
      </c>
      <c r="P20" s="2" t="inlineStr">
        <is>
          <t>agent+tools</t>
        </is>
      </c>
      <c r="Q20" s="2" t="inlineStr">
        <is>
          <t>Agent performs multi-step tasks with tool access</t>
        </is>
      </c>
      <c r="R20" s="2" t="inlineStr">
        <is>
          <t>Project aims to assess agent execution capability</t>
        </is>
      </c>
      <c r="S20" s="2" t="inlineStr">
        <is>
          <t>No published result identified in this pass</t>
        </is>
      </c>
      <c r="T20" s="2" t="inlineStr">
        <is>
          <t>High</t>
        </is>
      </c>
      <c r="U20" s="2" t="inlineStr">
        <is>
          <t>Project description only</t>
        </is>
      </c>
      <c r="V20" s="2" t="inlineStr">
        <is>
          <t>Large-scale harm capability</t>
        </is>
      </c>
      <c r="W20" s="2" t="inlineStr">
        <is>
          <t>Not yet demonstrated</t>
        </is>
      </c>
      <c r="X20" s="2" t="inlineStr">
        <is>
          <t>High: tool access, permissions and physical bottlenecks determine consequence</t>
        </is>
      </c>
      <c r="Y20" s="2" t="inlineStr">
        <is>
          <t>Evaluation boundary likely decisive for security interpretation</t>
        </is>
      </c>
      <c r="Z20" s="2" t="inlineStr">
        <is>
          <t>Large-scale harm threat -&gt; agent execution construct -&gt; task evaluation -&gt; capability inference -&gt; safety threshold</t>
        </is>
      </c>
      <c r="AA20" s="2" t="inlineStr">
        <is>
          <t>https://www.frontiermodelforum.org/updates/announcement-of-new-ai-safety-fund-grantees/</t>
        </is>
      </c>
      <c r="AB20" s="2" t="inlineStr">
        <is>
          <t>https://www.frontiermodelforum.org/ai-safety-fund/</t>
        </is>
      </c>
      <c r="AC20" s="2" t="inlineStr"/>
      <c r="AD20" s="2" t="inlineStr">
        <is>
          <t>No</t>
        </is>
      </c>
      <c r="AE20" s="2" t="inlineStr">
        <is>
          <t>Direct funder announcement</t>
        </is>
      </c>
      <c r="AF20" s="2" t="inlineStr">
        <is>
          <t>Prospective record</t>
        </is>
      </c>
    </row>
    <row r="21">
      <c r="A21" s="2" t="inlineStr">
        <is>
          <t>P20</t>
        </is>
      </c>
      <c r="B21" s="2" t="inlineStr">
        <is>
          <t>AI Safety Fund / Frontier Model Forum</t>
        </is>
      </c>
      <c r="C21" s="2" t="inlineStr">
        <is>
          <t>Round Two AI Safety Fund grants</t>
        </is>
      </c>
      <c r="D21" s="2" t="inlineStr">
        <is>
          <t>2025</t>
        </is>
      </c>
      <c r="E21" s="2" t="inlineStr">
        <is>
          <t>University of Illinois Urbana-Champaign</t>
        </is>
      </c>
      <c r="F21" s="2" t="inlineStr">
        <is>
          <t>Cybersecurity Risk Evaluations of AI Agents with Computer Interaction Capabilities</t>
        </is>
      </c>
      <c r="G21" s="2" t="inlineStr">
        <is>
          <t>Funded cyber agent evaluation</t>
        </is>
      </c>
      <c r="H21" s="2" t="inlineStr">
        <is>
          <t>Direct project-specific AISF grant</t>
        </is>
      </c>
      <c r="I21" s="2" t="inlineStr">
        <is>
          <t>AISF supported by frontier labs and philanthropic partners</t>
        </is>
      </c>
      <c r="J21" s="2" t="inlineStr">
        <is>
          <t>Academic AI/cybersecurity research</t>
        </is>
      </c>
      <c r="K21" s="2" t="inlineStr">
        <is>
          <t>Not established from funder announcement</t>
        </is>
      </c>
      <c r="L21" s="2" t="inlineStr">
        <is>
          <t>Computer-using agents may create cyber risk</t>
        </is>
      </c>
      <c r="M21" s="2" t="inlineStr">
        <is>
          <t>Agentic cyber capability with computer interaction</t>
        </is>
      </c>
      <c r="N21" s="2" t="inlineStr">
        <is>
          <t>Task success in interactive cyber environments</t>
        </is>
      </c>
      <c r="O21" s="2" t="inlineStr">
        <is>
          <t>Planned/ongoing evaluation research</t>
        </is>
      </c>
      <c r="P21" s="2" t="inlineStr">
        <is>
          <t>agent+computer</t>
        </is>
      </c>
      <c r="Q21" s="2" t="inlineStr">
        <is>
          <t>Agents operating computers / cyber environments</t>
        </is>
      </c>
      <c r="R21" s="2" t="inlineStr">
        <is>
          <t>Project aims to evaluate cyber risk of computer-using agents</t>
        </is>
      </c>
      <c r="S21" s="2" t="inlineStr">
        <is>
          <t>No published result identified in this pass</t>
        </is>
      </c>
      <c r="T21" s="2" t="inlineStr">
        <is>
          <t>High</t>
        </is>
      </c>
      <c r="U21" s="2" t="inlineStr">
        <is>
          <t>Project description only</t>
        </is>
      </c>
      <c r="V21" s="2" t="inlineStr">
        <is>
          <t>Cybersecurity operational risk</t>
        </is>
      </c>
      <c r="W21" s="2" t="inlineStr">
        <is>
          <t>Not yet demonstrated</t>
        </is>
      </c>
      <c r="X21" s="2" t="inlineStr">
        <is>
          <t>High: environment realism and permissions materially affect capability</t>
        </is>
      </c>
      <c r="Y21" s="2" t="inlineStr">
        <is>
          <t>Agent harness and environment are part of capability</t>
        </is>
      </c>
      <c r="Z21" s="2" t="inlineStr">
        <is>
          <t>Cyber threat -&gt; interactive capability -&gt; agent evaluation -&gt; inferred risk</t>
        </is>
      </c>
      <c r="AA21" s="2" t="inlineStr">
        <is>
          <t>https://www.frontiermodelforum.org/updates/announcement-of-new-ai-safety-fund-grantees/</t>
        </is>
      </c>
      <c r="AB21" s="2" t="inlineStr">
        <is>
          <t>https://www.frontiermodelforum.org/ai-safety-fund/</t>
        </is>
      </c>
      <c r="AC21" s="2" t="inlineStr"/>
      <c r="AD21" s="2" t="inlineStr">
        <is>
          <t>No</t>
        </is>
      </c>
      <c r="AE21" s="2" t="inlineStr">
        <is>
          <t>Direct funder announcement</t>
        </is>
      </c>
      <c r="AF21" s="2" t="inlineStr">
        <is>
          <t>Prospective record</t>
        </is>
      </c>
    </row>
    <row r="22">
      <c r="A22" s="2" t="inlineStr">
        <is>
          <t>P21</t>
        </is>
      </c>
      <c r="B22" s="2" t="inlineStr">
        <is>
          <t>AI Safety Fund / Frontier Model Forum</t>
        </is>
      </c>
      <c r="C22" s="2" t="inlineStr">
        <is>
          <t>Round Two AI Safety Fund grants</t>
        </is>
      </c>
      <c r="D22" s="2" t="inlineStr">
        <is>
          <t>2025</t>
        </is>
      </c>
      <c r="E22" s="2" t="inlineStr">
        <is>
          <t>University of Toronto</t>
        </is>
      </c>
      <c r="F22" s="2" t="inlineStr">
        <is>
          <t>Analyzing the Emergent Role of Sanctioning in Regulating Multi-Agent LLM Systems</t>
        </is>
      </c>
      <c r="G22" s="2" t="inlineStr">
        <is>
          <t>Funded multi-agent safety project</t>
        </is>
      </c>
      <c r="H22" s="2" t="inlineStr">
        <is>
          <t>Direct project-specific AISF grant</t>
        </is>
      </c>
      <c r="I22" s="2" t="inlineStr">
        <is>
          <t>AISF supported by frontier labs and philanthropic partners</t>
        </is>
      </c>
      <c r="J22" s="2" t="inlineStr">
        <is>
          <t>Academic multi-agent systems research</t>
        </is>
      </c>
      <c r="K22" s="2" t="inlineStr">
        <is>
          <t>Not established from funder announcement</t>
        </is>
      </c>
      <c r="L22" s="2" t="inlineStr">
        <is>
          <t>Multi-agent interactions may create unsafe emergent behavior</t>
        </is>
      </c>
      <c r="M22" s="2" t="inlineStr">
        <is>
          <t>Sanctioning as governance/control mechanism</t>
        </is>
      </c>
      <c r="N22" s="2" t="inlineStr">
        <is>
          <t>Collective behavior under sanctioning regimes</t>
        </is>
      </c>
      <c r="O22" s="2" t="inlineStr">
        <is>
          <t>Planned/ongoing research</t>
        </is>
      </c>
      <c r="P22" s="2" t="inlineStr">
        <is>
          <t>multi-agent</t>
        </is>
      </c>
      <c r="Q22" s="2" t="inlineStr">
        <is>
          <t>Interacting LLM agents under sanctioning rules</t>
        </is>
      </c>
      <c r="R22" s="2" t="inlineStr">
        <is>
          <t>Project aims to analyze sanctioning in multi-agent regulation</t>
        </is>
      </c>
      <c r="S22" s="2" t="inlineStr">
        <is>
          <t>No published result identified in this pass</t>
        </is>
      </c>
      <c r="T22" s="2" t="inlineStr">
        <is>
          <t>High</t>
        </is>
      </c>
      <c r="U22" s="2" t="inlineStr">
        <is>
          <t>Project description only</t>
        </is>
      </c>
      <c r="V22" s="2" t="inlineStr">
        <is>
          <t>Multi-agent governance/control</t>
        </is>
      </c>
      <c r="W22" s="2" t="inlineStr">
        <is>
          <t>Not yet demonstrated</t>
        </is>
      </c>
      <c r="X22" s="2" t="inlineStr">
        <is>
          <t>High: network structure and incentives are central</t>
        </is>
      </c>
      <c r="Y22" s="2" t="inlineStr">
        <is>
          <t>Emergent properties are explicitly system-level</t>
        </is>
      </c>
      <c r="Z22" s="2" t="inlineStr">
        <is>
          <t>Multi-agent risk -&gt; sanctioning mechanism -&gt; simulation/evaluation -&gt; collective outcome -&gt; governance implication</t>
        </is>
      </c>
      <c r="AA22" s="2" t="inlineStr">
        <is>
          <t>https://www.frontiermodelforum.org/updates/announcement-of-new-ai-safety-fund-grantees/</t>
        </is>
      </c>
      <c r="AB22" s="2" t="inlineStr">
        <is>
          <t>https://www.frontiermodelforum.org/ai-safety-fund/</t>
        </is>
      </c>
      <c r="AC22" s="2" t="inlineStr"/>
      <c r="AD22" s="2" t="inlineStr">
        <is>
          <t>No</t>
        </is>
      </c>
      <c r="AE22" s="2" t="inlineStr">
        <is>
          <t>Direct funder announcement</t>
        </is>
      </c>
      <c r="AF22" s="2" t="inlineStr">
        <is>
          <t>Prospective record</t>
        </is>
      </c>
    </row>
    <row r="23">
      <c r="A23" s="2" t="inlineStr">
        <is>
          <t>P22</t>
        </is>
      </c>
      <c r="B23" s="2" t="inlineStr">
        <is>
          <t>CSET</t>
        </is>
      </c>
      <c r="C23" s="2" t="inlineStr">
        <is>
          <t>Foundational Research Grants</t>
        </is>
      </c>
      <c r="D23" s="2" t="inlineStr">
        <is>
          <t>2024-2026</t>
        </is>
      </c>
      <c r="E23" s="2" t="inlineStr">
        <is>
          <t>Center for AI Safety</t>
        </is>
      </c>
      <c r="F23" s="2" t="inlineStr">
        <is>
          <t>Measuring and mitigating AI deception</t>
        </is>
      </c>
      <c r="G23" s="2" t="inlineStr">
        <is>
          <t>Funded technical research</t>
        </is>
      </c>
      <c r="H23" s="2" t="inlineStr">
        <is>
          <t>Directly listed as CSET FRG grantee</t>
        </is>
      </c>
      <c r="I23" s="2" t="inlineStr">
        <is>
          <t>CSET funds external technical work linked to long-term national-security implications</t>
        </is>
      </c>
      <c r="J23" s="2" t="inlineStr">
        <is>
          <t>AI safety research center</t>
        </is>
      </c>
      <c r="K23" s="2" t="inlineStr">
        <is>
          <t>Not established from CSET page</t>
        </is>
      </c>
      <c r="L23" s="2" t="inlineStr">
        <is>
          <t>AI systems may deceive users/overseers</t>
        </is>
      </c>
      <c r="M23" s="2" t="inlineStr">
        <is>
          <t>Deception behavior and mitigation</t>
        </is>
      </c>
      <c r="N23" s="2" t="inlineStr">
        <is>
          <t>Behavioral deception metrics / mitigation performance</t>
        </is>
      </c>
      <c r="O23" s="2" t="inlineStr">
        <is>
          <t>External technical research</t>
        </is>
      </c>
      <c r="P23" s="2" t="inlineStr">
        <is>
          <t>model/agent</t>
        </is>
      </c>
      <c r="Q23" s="2" t="inlineStr">
        <is>
          <t>Frontier-model deception evaluation</t>
        </is>
      </c>
      <c r="R23" s="2" t="inlineStr">
        <is>
          <t>Project aims to measure and mitigate AI deception</t>
        </is>
      </c>
      <c r="S23" s="2" t="inlineStr">
        <is>
          <t>Specific outputs not linked on CSET grantee list in this pass</t>
        </is>
      </c>
      <c r="T23" s="2" t="inlineStr">
        <is>
          <t>High</t>
        </is>
      </c>
      <c r="U23" s="2" t="inlineStr">
        <is>
          <t>Funder description only</t>
        </is>
      </c>
      <c r="V23" s="2" t="inlineStr">
        <is>
          <t>AI assurance / control</t>
        </is>
      </c>
      <c r="W23" s="2" t="inlineStr">
        <is>
          <t>Not yet established here</t>
        </is>
      </c>
      <c r="X23" s="2" t="inlineStr">
        <is>
          <t>Moderate-high: deception may depend on task incentives and interaction context</t>
        </is>
      </c>
      <c r="Y23" s="2" t="inlineStr">
        <is>
          <t>Need output-level tracing before stronger claims</t>
        </is>
      </c>
      <c r="Z23" s="2" t="inlineStr">
        <is>
          <t>Deception threat -&gt; behavior construct -&gt; evaluation -&gt; mitigation -&gt; assurance</t>
        </is>
      </c>
      <c r="AA23" s="2" t="inlineStr">
        <is>
          <t>https://cset.georgetown.edu/foundational-research-grants/</t>
        </is>
      </c>
      <c r="AB23" s="2" t="inlineStr">
        <is>
          <t>https://cset.georgetown.edu/foundational-research-grants/</t>
        </is>
      </c>
      <c r="AC23" s="2" t="inlineStr"/>
      <c r="AD23" s="2" t="inlineStr">
        <is>
          <t>No</t>
        </is>
      </c>
      <c r="AE23" s="2" t="inlineStr">
        <is>
          <t>Direct funder listing</t>
        </is>
      </c>
      <c r="AF23" s="2" t="inlineStr">
        <is>
          <t>Output lineage to trace in next expansion</t>
        </is>
      </c>
    </row>
    <row r="24">
      <c r="A24" s="2" t="inlineStr">
        <is>
          <t>P23</t>
        </is>
      </c>
      <c r="B24" s="2" t="inlineStr">
        <is>
          <t>CSET</t>
        </is>
      </c>
      <c r="C24" s="2" t="inlineStr">
        <is>
          <t>Foundational Research Grants</t>
        </is>
      </c>
      <c r="D24" s="2" t="inlineStr">
        <is>
          <t>2024-2026</t>
        </is>
      </c>
      <c r="E24" s="2" t="inlineStr">
        <is>
          <t>Peter Henderson / Princeton University</t>
        </is>
      </c>
      <c r="F24" s="2" t="inlineStr">
        <is>
          <t>Safety of different model release strategies</t>
        </is>
      </c>
      <c r="G24" s="2" t="inlineStr">
        <is>
          <t>Funded technical research</t>
        </is>
      </c>
      <c r="H24" s="2" t="inlineStr">
        <is>
          <t>Directly listed as CSET FRG grantee</t>
        </is>
      </c>
      <c r="I24" s="2" t="inlineStr">
        <is>
          <t>CSET funds external technical work linked to long-term national-security implications</t>
        </is>
      </c>
      <c r="J24" s="2" t="inlineStr">
        <is>
          <t>Academic AI safety/policy research</t>
        </is>
      </c>
      <c r="K24" s="2" t="inlineStr">
        <is>
          <t>Not established from CSET page</t>
        </is>
      </c>
      <c r="L24" s="2" t="inlineStr">
        <is>
          <t>Model release choices may alter downstream risk</t>
        </is>
      </c>
      <c r="M24" s="2" t="inlineStr">
        <is>
          <t>Safety consequences of release strategy</t>
        </is>
      </c>
      <c r="N24" s="2" t="inlineStr">
        <is>
          <t>Comparative release-strategy outcomes</t>
        </is>
      </c>
      <c r="O24" s="2" t="inlineStr">
        <is>
          <t>External technical research</t>
        </is>
      </c>
      <c r="P24" s="2" t="inlineStr">
        <is>
          <t>deployment/policy configuration</t>
        </is>
      </c>
      <c r="Q24" s="2" t="inlineStr">
        <is>
          <t>Different access and release modes</t>
        </is>
      </c>
      <c r="R24" s="2" t="inlineStr">
        <is>
          <t>Project examines safety of model release strategies</t>
        </is>
      </c>
      <c r="S24" s="2" t="inlineStr">
        <is>
          <t>Specific output not linked on CSET page in this pass</t>
        </is>
      </c>
      <c r="T24" s="2" t="inlineStr">
        <is>
          <t>High</t>
        </is>
      </c>
      <c r="U24" s="2" t="inlineStr">
        <is>
          <t>Funder description only</t>
        </is>
      </c>
      <c r="V24" s="2" t="inlineStr">
        <is>
          <t>Deployment safety</t>
        </is>
      </c>
      <c r="W24" s="2" t="inlineStr">
        <is>
          <t>Not yet established here</t>
        </is>
      </c>
      <c r="X24" s="2" t="inlineStr">
        <is>
          <t>High: downstream ecosystem behavior is the object</t>
        </is>
      </c>
      <c r="Y24" s="2" t="inlineStr">
        <is>
          <t>Boundary extends beyond model to access and users</t>
        </is>
      </c>
      <c r="Z24" s="2" t="inlineStr">
        <is>
          <t>Release decision -&gt; access structure -&gt; downstream use -&gt; safety implication</t>
        </is>
      </c>
      <c r="AA24" s="2" t="inlineStr">
        <is>
          <t>https://cset.georgetown.edu/foundational-research-grants/</t>
        </is>
      </c>
      <c r="AB24" s="2" t="inlineStr">
        <is>
          <t>https://cset.georgetown.edu/foundational-research-grants/</t>
        </is>
      </c>
      <c r="AC24" s="2" t="inlineStr"/>
      <c r="AD24" s="2" t="inlineStr">
        <is>
          <t>No</t>
        </is>
      </c>
      <c r="AE24" s="2" t="inlineStr">
        <is>
          <t>Direct funder listing</t>
        </is>
      </c>
      <c r="AF24" s="2" t="inlineStr">
        <is>
          <t>Output lineage to trace</t>
        </is>
      </c>
    </row>
    <row r="25">
      <c r="A25" s="2" t="inlineStr">
        <is>
          <t>P24</t>
        </is>
      </c>
      <c r="B25" s="2" t="inlineStr">
        <is>
          <t>CSET</t>
        </is>
      </c>
      <c r="C25" s="2" t="inlineStr">
        <is>
          <t>Foundational Research Grants</t>
        </is>
      </c>
      <c r="D25" s="2" t="inlineStr">
        <is>
          <t>2024-2026</t>
        </is>
      </c>
      <c r="E25" s="2" t="inlineStr">
        <is>
          <t>Tim G. J. Rudner / New York University</t>
        </is>
      </c>
      <c r="F25" s="2" t="inlineStr">
        <is>
          <t>Quantifying uncertainty in large language models</t>
        </is>
      </c>
      <c r="G25" s="2" t="inlineStr">
        <is>
          <t>Funded technical research</t>
        </is>
      </c>
      <c r="H25" s="2" t="inlineStr">
        <is>
          <t>Directly listed as CSET FRG grantee</t>
        </is>
      </c>
      <c r="I25" s="2" t="inlineStr">
        <is>
          <t>CSET funds external technical work linked to long-term national-security implications</t>
        </is>
      </c>
      <c r="J25" s="2" t="inlineStr">
        <is>
          <t>Academic ML uncertainty research</t>
        </is>
      </c>
      <c r="K25" s="2" t="inlineStr">
        <is>
          <t>Not established from CSET page</t>
        </is>
      </c>
      <c r="L25" s="2" t="inlineStr">
        <is>
          <t>Unreliable confidence may undermine safe use</t>
        </is>
      </c>
      <c r="M25" s="2" t="inlineStr">
        <is>
          <t>Uncertainty estimation</t>
        </is>
      </c>
      <c r="N25" s="2" t="inlineStr">
        <is>
          <t>Calibration/uncertainty metrics</t>
        </is>
      </c>
      <c r="O25" s="2" t="inlineStr">
        <is>
          <t>External technical research</t>
        </is>
      </c>
      <c r="P25" s="2" t="inlineStr">
        <is>
          <t>model</t>
        </is>
      </c>
      <c r="Q25" s="2" t="inlineStr">
        <is>
          <t>LLM uncertainty estimation</t>
        </is>
      </c>
      <c r="R25" s="2" t="inlineStr">
        <is>
          <t>Project aims to quantify LLM uncertainty</t>
        </is>
      </c>
      <c r="S25" s="2" t="inlineStr">
        <is>
          <t>Specific output not linked on CSET page in this pass</t>
        </is>
      </c>
      <c r="T25" s="2" t="inlineStr">
        <is>
          <t>High</t>
        </is>
      </c>
      <c r="U25" s="2" t="inlineStr">
        <is>
          <t>Funder description only</t>
        </is>
      </c>
      <c r="V25" s="2" t="inlineStr">
        <is>
          <t>Reliability/assurance</t>
        </is>
      </c>
      <c r="W25" s="2" t="inlineStr">
        <is>
          <t>Not yet established here</t>
        </is>
      </c>
      <c r="X25" s="2" t="inlineStr">
        <is>
          <t>Moderate: uncertainty utility depends on decision context</t>
        </is>
      </c>
      <c r="Y25" s="2" t="inlineStr">
        <is>
          <t>System-level consequence depends on how uncertainty is communicated and acted upon</t>
        </is>
      </c>
      <c r="Z25" s="2" t="inlineStr">
        <is>
          <t>Uncertainty problem -&gt; estimation metric -&gt; calibrated confidence -&gt; safer decisions</t>
        </is>
      </c>
      <c r="AA25" s="2" t="inlineStr">
        <is>
          <t>https://cset.georgetown.edu/foundational-research-grants/</t>
        </is>
      </c>
      <c r="AB25" s="2" t="inlineStr">
        <is>
          <t>https://cset.georgetown.edu/foundational-research-grants/</t>
        </is>
      </c>
      <c r="AC25" s="2" t="inlineStr"/>
      <c r="AD25" s="2" t="inlineStr">
        <is>
          <t>No</t>
        </is>
      </c>
      <c r="AE25" s="2" t="inlineStr">
        <is>
          <t>Direct funder listing</t>
        </is>
      </c>
      <c r="AF25" s="2" t="inlineStr">
        <is>
          <t>Output lineage to trace</t>
        </is>
      </c>
    </row>
    <row r="26">
      <c r="A26" s="2" t="inlineStr">
        <is>
          <t>P25</t>
        </is>
      </c>
      <c r="B26" s="2" t="inlineStr">
        <is>
          <t>CSET</t>
        </is>
      </c>
      <c r="C26" s="2" t="inlineStr">
        <is>
          <t>Foundational Research Grants</t>
        </is>
      </c>
      <c r="D26" s="2" t="inlineStr">
        <is>
          <t>2024-2026</t>
        </is>
      </c>
      <c r="E26" s="2" t="inlineStr">
        <is>
          <t>Percy Liang and Daniel Ho / Stanford University</t>
        </is>
      </c>
      <c r="F26" s="2" t="inlineStr">
        <is>
          <t>What model access is needed to meaningfully audit frontier models</t>
        </is>
      </c>
      <c r="G26" s="2" t="inlineStr">
        <is>
          <t>Funded audit-access research</t>
        </is>
      </c>
      <c r="H26" s="2" t="inlineStr">
        <is>
          <t>Directly listed as CSET FRG grantee</t>
        </is>
      </c>
      <c r="I26" s="2" t="inlineStr">
        <is>
          <t>CSET funds external technical work linked to long-term national-security implications</t>
        </is>
      </c>
      <c r="J26" s="2" t="inlineStr">
        <is>
          <t>Academic AI evaluation/auditing research</t>
        </is>
      </c>
      <c r="K26" s="2" t="inlineStr">
        <is>
          <t>Not established from CSET page</t>
        </is>
      </c>
      <c r="L26" s="2" t="inlineStr">
        <is>
          <t>External auditors may lack sufficient access to detect risks</t>
        </is>
      </c>
      <c r="M26" s="2" t="inlineStr">
        <is>
          <t>Auditability under different access regimes</t>
        </is>
      </c>
      <c r="N26" s="2" t="inlineStr">
        <is>
          <t>Audit performance by access level</t>
        </is>
      </c>
      <c r="O26" s="2" t="inlineStr">
        <is>
          <t>External technical research</t>
        </is>
      </c>
      <c r="P26" s="2" t="inlineStr">
        <is>
          <t>auditor+model access</t>
        </is>
      </c>
      <c r="Q26" s="2" t="inlineStr">
        <is>
          <t>Black-box / API / deeper access configurations</t>
        </is>
      </c>
      <c r="R26" s="2" t="inlineStr">
        <is>
          <t>Project asks what access is necessary for meaningful audits</t>
        </is>
      </c>
      <c r="S26" s="2" t="inlineStr">
        <is>
          <t>Specific output not linked on CSET page in this pass</t>
        </is>
      </c>
      <c r="T26" s="2" t="inlineStr">
        <is>
          <t>High</t>
        </is>
      </c>
      <c r="U26" s="2" t="inlineStr">
        <is>
          <t>Funder description only</t>
        </is>
      </c>
      <c r="V26" s="2" t="inlineStr">
        <is>
          <t>External assurance</t>
        </is>
      </c>
      <c r="W26" s="2" t="inlineStr">
        <is>
          <t>Not yet established here</t>
        </is>
      </c>
      <c r="X26" s="2" t="inlineStr">
        <is>
          <t>Very high: access boundary is the independent variable</t>
        </is>
      </c>
      <c r="Y26" s="2" t="inlineStr">
        <is>
          <t>Directly relevant to configuration-sensitive evaluation validity</t>
        </is>
      </c>
      <c r="Z26" s="2" t="inlineStr">
        <is>
          <t>Assurance need -&gt; access regime -&gt; audit capability -&gt; detected risk -&gt; governance decision</t>
        </is>
      </c>
      <c r="AA26" s="2" t="inlineStr">
        <is>
          <t>https://cset.georgetown.edu/foundational-research-grants/</t>
        </is>
      </c>
      <c r="AB26" s="2" t="inlineStr">
        <is>
          <t>https://cset.georgetown.edu/foundational-research-grants/</t>
        </is>
      </c>
      <c r="AC26" s="2" t="inlineStr"/>
      <c r="AD26" s="2" t="inlineStr">
        <is>
          <t>No</t>
        </is>
      </c>
      <c r="AE26" s="2" t="inlineStr">
        <is>
          <t>Direct funder listing</t>
        </is>
      </c>
      <c r="AF26" s="2" t="inlineStr">
        <is>
          <t>Output lineage to trace</t>
        </is>
      </c>
    </row>
    <row r="27">
      <c r="A27" s="2" t="inlineStr">
        <is>
          <t>P26</t>
        </is>
      </c>
      <c r="B27" s="2" t="inlineStr">
        <is>
          <t>CSET</t>
        </is>
      </c>
      <c r="C27" s="2" t="inlineStr">
        <is>
          <t>Foundational Research Grants</t>
        </is>
      </c>
      <c r="D27" s="2" t="inlineStr">
        <is>
          <t>2024-2026</t>
        </is>
      </c>
      <c r="E27" s="2" t="inlineStr">
        <is>
          <t>Partnership on AI</t>
        </is>
      </c>
      <c r="F27" s="2" t="inlineStr">
        <is>
          <t>Framework for post-deployment monitoring of AI agents</t>
        </is>
      </c>
      <c r="G27" s="2" t="inlineStr">
        <is>
          <t>Funded monitoring framework</t>
        </is>
      </c>
      <c r="H27" s="2" t="inlineStr">
        <is>
          <t>Directly listed as CSET FRG grantee</t>
        </is>
      </c>
      <c r="I27" s="2" t="inlineStr">
        <is>
          <t>CSET funds external technical work linked to long-term national-security implications</t>
        </is>
      </c>
      <c r="J27" s="2" t="inlineStr">
        <is>
          <t>Multi-stakeholder AI organization</t>
        </is>
      </c>
      <c r="K27" s="2" t="inlineStr">
        <is>
          <t>Not established from CSET page</t>
        </is>
      </c>
      <c r="L27" s="2" t="inlineStr">
        <is>
          <t>Agent risks may emerge only after deployment</t>
        </is>
      </c>
      <c r="M27" s="2" t="inlineStr">
        <is>
          <t>Post-deployment monitoring</t>
        </is>
      </c>
      <c r="N27" s="2" t="inlineStr">
        <is>
          <t>Monitoring framework / incident signals</t>
        </is>
      </c>
      <c r="O27" s="2" t="inlineStr">
        <is>
          <t>Framework development</t>
        </is>
      </c>
      <c r="P27" s="2" t="inlineStr">
        <is>
          <t>deployed agent system</t>
        </is>
      </c>
      <c r="Q27" s="2" t="inlineStr">
        <is>
          <t>Agents observed in post-deployment settings</t>
        </is>
      </c>
      <c r="R27" s="2" t="inlineStr">
        <is>
          <t>Project aims to develop monitoring framework for AI agents</t>
        </is>
      </c>
      <c r="S27" s="2" t="inlineStr">
        <is>
          <t>Specific output not linked on CSET page in this pass</t>
        </is>
      </c>
      <c r="T27" s="2" t="inlineStr">
        <is>
          <t>High</t>
        </is>
      </c>
      <c r="U27" s="2" t="inlineStr">
        <is>
          <t>Funder description only</t>
        </is>
      </c>
      <c r="V27" s="2" t="inlineStr">
        <is>
          <t>Operational safety monitoring</t>
        </is>
      </c>
      <c r="W27" s="2" t="inlineStr">
        <is>
          <t>Not yet established here</t>
        </is>
      </c>
      <c r="X27" s="2" t="inlineStr">
        <is>
          <t>Very high: real-world context and telemetry are core</t>
        </is>
      </c>
      <c r="Y27" s="2" t="inlineStr">
        <is>
          <t>Potential bridge toward WINE-like field observability</t>
        </is>
      </c>
      <c r="Z27" s="2" t="inlineStr">
        <is>
          <t>Deployed-agent risk -&gt; monitoring construct -&gt; telemetry/reporting -&gt; detection -&gt; intervention</t>
        </is>
      </c>
      <c r="AA27" s="2" t="inlineStr">
        <is>
          <t>https://cset.georgetown.edu/foundational-research-grants/</t>
        </is>
      </c>
      <c r="AB27" s="2" t="inlineStr">
        <is>
          <t>https://cset.georgetown.edu/foundational-research-grants/</t>
        </is>
      </c>
      <c r="AC27" s="2" t="inlineStr"/>
      <c r="AD27" s="2" t="inlineStr">
        <is>
          <t>No</t>
        </is>
      </c>
      <c r="AE27" s="2" t="inlineStr">
        <is>
          <t>Direct funder listing</t>
        </is>
      </c>
      <c r="AF27" s="2" t="inlineStr">
        <is>
          <t>High relevance to field-observation layer</t>
        </is>
      </c>
    </row>
    <row r="28">
      <c r="A28" s="2" t="inlineStr">
        <is>
          <t>P27</t>
        </is>
      </c>
      <c r="B28" s="2" t="inlineStr">
        <is>
          <t>CSET</t>
        </is>
      </c>
      <c r="C28" s="2" t="inlineStr">
        <is>
          <t>Foundational Research Grants</t>
        </is>
      </c>
      <c r="D28" s="2" t="inlineStr">
        <is>
          <t>2024-2026</t>
        </is>
      </c>
      <c r="E28" s="2" t="inlineStr">
        <is>
          <t>UC Berkeley Center for Long-Term Cybersecurity / AI Security Initiative</t>
        </is>
      </c>
      <c r="F28" s="2" t="inlineStr">
        <is>
          <t>Defining intolerable risk thresholds for frontier AI systems</t>
        </is>
      </c>
      <c r="G28" s="2" t="inlineStr">
        <is>
          <t>Funded risk-threshold research</t>
        </is>
      </c>
      <c r="H28" s="2" t="inlineStr">
        <is>
          <t>Directly listed as CSET FRG grantee</t>
        </is>
      </c>
      <c r="I28" s="2" t="inlineStr">
        <is>
          <t>CSET funds external technical work linked to long-term national-security implications</t>
        </is>
      </c>
      <c r="J28" s="2" t="inlineStr">
        <is>
          <t>Academic cybersecurity / AI governance research</t>
        </is>
      </c>
      <c r="K28" s="2" t="inlineStr">
        <is>
          <t>Not established from CSET page</t>
        </is>
      </c>
      <c r="L28" s="2" t="inlineStr">
        <is>
          <t>Decision-makers need thresholds for unacceptable frontier-AI risk</t>
        </is>
      </c>
      <c r="M28" s="2" t="inlineStr">
        <is>
          <t>Intolerable-risk threshold definition</t>
        </is>
      </c>
      <c r="N28" s="2" t="inlineStr">
        <is>
          <t>Risk criteria / threshold framework</t>
        </is>
      </c>
      <c r="O28" s="2" t="inlineStr">
        <is>
          <t>Policy/technical research</t>
        </is>
      </c>
      <c r="P28" s="2" t="inlineStr">
        <is>
          <t>governance+evaluation</t>
        </is>
      </c>
      <c r="Q28" s="2" t="inlineStr">
        <is>
          <t>Thresholds linking technical evidence to governance action</t>
        </is>
      </c>
      <c r="R28" s="2" t="inlineStr">
        <is>
          <t>Project aims to define intolerable risk thresholds</t>
        </is>
      </c>
      <c r="S28" s="2" t="inlineStr">
        <is>
          <t>Specific output not linked on CSET page in this pass</t>
        </is>
      </c>
      <c r="T28" s="2" t="inlineStr">
        <is>
          <t>High</t>
        </is>
      </c>
      <c r="U28" s="2" t="inlineStr">
        <is>
          <t>Funder description only</t>
        </is>
      </c>
      <c r="V28" s="2" t="inlineStr">
        <is>
          <t>Decision-relevant AI risk governance</t>
        </is>
      </c>
      <c r="W28" s="2" t="inlineStr">
        <is>
          <t>Not yet established here</t>
        </is>
      </c>
      <c r="X28" s="2" t="inlineStr">
        <is>
          <t>High: threshold validity depends on evidence-to-outcome linkage</t>
        </is>
      </c>
      <c r="Y28" s="2" t="inlineStr">
        <is>
          <t>Directly relevant to claim-to-decision chain</t>
        </is>
      </c>
      <c r="Z28" s="2" t="inlineStr">
        <is>
          <t>Risk evidence -&gt; threshold -&gt; decision rule -&gt; deployment/governance action</t>
        </is>
      </c>
      <c r="AA28" s="2" t="inlineStr">
        <is>
          <t>https://cset.georgetown.edu/foundational-research-grants/</t>
        </is>
      </c>
      <c r="AB28" s="2" t="inlineStr">
        <is>
          <t>https://cset.georgetown.edu/foundational-research-grants/</t>
        </is>
      </c>
      <c r="AC28" s="2" t="inlineStr"/>
      <c r="AD28" s="2" t="inlineStr">
        <is>
          <t>No</t>
        </is>
      </c>
      <c r="AE28" s="2" t="inlineStr">
        <is>
          <t>Direct funder listing</t>
        </is>
      </c>
      <c r="AF28" s="2" t="inlineStr">
        <is>
          <t>Output lineage to trace</t>
        </is>
      </c>
    </row>
    <row r="29">
      <c r="A29" s="2" t="inlineStr">
        <is>
          <t>P28</t>
        </is>
      </c>
      <c r="B29" s="2" t="inlineStr">
        <is>
          <t>Schmidt Sciences</t>
        </is>
      </c>
      <c r="C29" s="2" t="inlineStr">
        <is>
          <t>Science of Trustworthy AI</t>
        </is>
      </c>
      <c r="D29" s="2" t="inlineStr">
        <is>
          <t>2025</t>
        </is>
      </c>
      <c r="E29" s="2" t="inlineStr">
        <is>
          <t>Andrea Bajcsy / Carnegie Mellon University + collaborators</t>
        </is>
      </c>
      <c r="F29" s="2" t="inlineStr">
        <is>
          <t>Adversarial multi-player games for evaluating AI safety</t>
        </is>
      </c>
      <c r="G29" s="2" t="inlineStr">
        <is>
          <t>Funded evaluation research</t>
        </is>
      </c>
      <c r="H29" s="2" t="inlineStr">
        <is>
          <t>Direct Schmidt Sciences project page</t>
        </is>
      </c>
      <c r="I29" s="2" t="inlineStr">
        <is>
          <t>Schmidt Science of Trustworthy AI program</t>
        </is>
      </c>
      <c r="J29" s="2" t="inlineStr">
        <is>
          <t>Academic robotics/control/human-AI research</t>
        </is>
      </c>
      <c r="K29" s="2" t="inlineStr">
        <is>
          <t>Not established from funder page</t>
        </is>
      </c>
      <c r="L29" s="2" t="inlineStr">
        <is>
          <t>Safety failures may emerge under adversarial interaction</t>
        </is>
      </c>
      <c r="M29" s="2" t="inlineStr">
        <is>
          <t>Safety under adversarial multi-player dynamics</t>
        </is>
      </c>
      <c r="N29" s="2" t="inlineStr">
        <is>
          <t>Game outcomes / safety metrics</t>
        </is>
      </c>
      <c r="O29" s="2" t="inlineStr">
        <is>
          <t>Funded technical research</t>
        </is>
      </c>
      <c r="P29" s="2" t="inlineStr">
        <is>
          <t>multi-agent / human-AI</t>
        </is>
      </c>
      <c r="Q29" s="2" t="inlineStr">
        <is>
          <t>Adversarial multi-player game environment</t>
        </is>
      </c>
      <c r="R29" s="2" t="inlineStr">
        <is>
          <t>Project will develop a novel evaluation using adversarial multi-player games</t>
        </is>
      </c>
      <c r="S29" s="2" t="inlineStr">
        <is>
          <t>No published result identified in this pass</t>
        </is>
      </c>
      <c r="T29" s="2" t="inlineStr">
        <is>
          <t>High</t>
        </is>
      </c>
      <c r="U29" s="2" t="inlineStr">
        <is>
          <t>Project description only</t>
        </is>
      </c>
      <c r="V29" s="2" t="inlineStr">
        <is>
          <t>AI safety evaluation validity</t>
        </is>
      </c>
      <c r="W29" s="2" t="inlineStr">
        <is>
          <t>Not yet demonstrated</t>
        </is>
      </c>
      <c r="X29" s="2" t="inlineStr">
        <is>
          <t>High: behavior depends on interacting players and game structure</t>
        </is>
      </c>
      <c r="Y29" s="2" t="inlineStr">
        <is>
          <t>Relational configuration is central to construct</t>
        </is>
      </c>
      <c r="Z29" s="2" t="inlineStr">
        <is>
          <t>Adversarial interaction -&gt; safety construct -&gt; multi-player game -&gt; observed behavior -&gt; safety inference</t>
        </is>
      </c>
      <c r="AA29" s="2" t="inlineStr">
        <is>
          <t>https://www.schmidtsciences.org/grantee/andrea-bajcsy/</t>
        </is>
      </c>
      <c r="AB29" s="2" t="inlineStr">
        <is>
          <t>https://www.schmidtsciences.org/trustworthy-ai/</t>
        </is>
      </c>
      <c r="AC29" s="2" t="inlineStr"/>
      <c r="AD29" s="2" t="inlineStr">
        <is>
          <t>No</t>
        </is>
      </c>
      <c r="AE29" s="2" t="inlineStr">
        <is>
          <t>Direct funder project page</t>
        </is>
      </c>
      <c r="AF29" s="2" t="inlineStr">
        <is>
          <t>Prospective record</t>
        </is>
      </c>
    </row>
    <row r="30">
      <c r="A30" s="2" t="inlineStr">
        <is>
          <t>P29</t>
        </is>
      </c>
      <c r="B30" s="2" t="inlineStr">
        <is>
          <t>Schmidt Sciences</t>
        </is>
      </c>
      <c r="C30" s="2" t="inlineStr">
        <is>
          <t>Science of Trustworthy AI</t>
        </is>
      </c>
      <c r="D30" s="2" t="inlineStr">
        <is>
          <t>2025</t>
        </is>
      </c>
      <c r="E30" s="2" t="inlineStr">
        <is>
          <t>Maarten Sap / Graham Neubig et al.</t>
        </is>
      </c>
      <c r="F30" s="2" t="inlineStr">
        <is>
          <t>OpenAgentSafety</t>
        </is>
      </c>
      <c r="G30" s="2" t="inlineStr">
        <is>
          <t>Evaluation paper / benchmark</t>
        </is>
      </c>
      <c r="H30" s="2" t="inlineStr">
        <is>
          <t>Direct Schmidt Sciences project page identifies OpenAgentSafety project</t>
        </is>
      </c>
      <c r="I30" s="2" t="inlineStr">
        <is>
          <t>Schmidt Science of Trustworthy AI program</t>
        </is>
      </c>
      <c r="J30" s="2" t="inlineStr">
        <is>
          <t>Academic agent-safety research</t>
        </is>
      </c>
      <c r="K30" s="2" t="inlineStr">
        <is>
          <t>No competing-interest concern identified in retrieved project/paper metadata</t>
        </is>
      </c>
      <c r="L30" s="2" t="inlineStr">
        <is>
          <t>Unsafe agent behavior in realistic tool-using environments</t>
        </is>
      </c>
      <c r="M30" s="2" t="inlineStr">
        <is>
          <t>Agent safety during multi-turn tool use and social interaction</t>
        </is>
      </c>
      <c r="N30" s="2" t="inlineStr">
        <is>
          <t>Unsafe-behavior rate over 350+ tasks</t>
        </is>
      </c>
      <c r="O30" s="2" t="inlineStr">
        <is>
          <t>Empirical benchmark with real tools in simulated organizational environments</t>
        </is>
      </c>
      <c r="P30" s="2" t="inlineStr">
        <is>
          <t>agent+tools+users</t>
        </is>
      </c>
      <c r="Q30" s="2" t="inlineStr">
        <is>
          <t>Browsers, code execution, file systems, bash, messaging, simulated users/NPCs</t>
        </is>
      </c>
      <c r="R30" s="2" t="inlineStr">
        <is>
          <t>Authors report unsafe behavior in 51.2%-72.7% of safety-vulnerable tasks across tested models</t>
        </is>
      </c>
      <c r="S30" s="2" t="inlineStr">
        <is>
          <t>Directly demonstrates unsafe behavior within benchmark environments; not real-world harm</t>
        </is>
      </c>
      <c r="T30" s="2" t="inlineStr">
        <is>
          <t>Moderate</t>
        </is>
      </c>
      <c r="U30" s="2" t="inlineStr">
        <is>
          <t>Benchmark uses real tools but simulated environment; rule-based + LLM-judge scoring</t>
        </is>
      </c>
      <c r="V30" s="2" t="inlineStr">
        <is>
          <t>Agent deployment safety</t>
        </is>
      </c>
      <c r="W30" s="2" t="inlineStr">
        <is>
          <t>Indirect; benchmark evidence rather than deployed incidents</t>
        </is>
      </c>
      <c r="X30" s="2" t="inlineStr">
        <is>
          <t>High: outcomes depend on tools, user intent and environment</t>
        </is>
      </c>
      <c r="Y30" s="2" t="inlineStr">
        <is>
          <t>Paper explicitly argues prior static/simplified evals miss agentic safety failures</t>
        </is>
      </c>
      <c r="Z30" s="2" t="inlineStr">
        <is>
          <t>Agent deployment threat -&gt; interactive safety construct -&gt; realistic simulation -&gt; unsafe behavior -&gt; safeguard need</t>
        </is>
      </c>
      <c r="AA30" s="2" t="inlineStr">
        <is>
          <t>https://arxiv.org/abs/2507.06134</t>
        </is>
      </c>
      <c r="AB30" s="2" t="inlineStr">
        <is>
          <t>https://www.schmidtsciences.org/grantee/maarten-sap/</t>
        </is>
      </c>
      <c r="AC30" s="2" t="inlineStr">
        <is>
          <t>https://arxiv.org/pdf/2507.06134</t>
        </is>
      </c>
      <c r="AD30" s="2" t="inlineStr">
        <is>
          <t>No</t>
        </is>
      </c>
      <c r="AE30" s="2" t="inlineStr">
        <is>
          <t>Funder page + paper</t>
        </is>
      </c>
      <c r="AF30" s="2" t="inlineStr">
        <is>
          <t>Published output linked to funder project</t>
        </is>
      </c>
    </row>
    <row r="31">
      <c r="A31" s="2" t="inlineStr">
        <is>
          <t>P30</t>
        </is>
      </c>
      <c r="B31" s="2" t="inlineStr">
        <is>
          <t>Schmidt Sciences</t>
        </is>
      </c>
      <c r="C31" s="2" t="inlineStr">
        <is>
          <t>Science of Trustworthy AI</t>
        </is>
      </c>
      <c r="D31" s="2" t="inlineStr">
        <is>
          <t>2025</t>
        </is>
      </c>
      <c r="E31" s="2" t="inlineStr">
        <is>
          <t>Bo Li / University of Illinois Urbana-Champaign</t>
        </is>
      </c>
      <c r="F31" s="2" t="inlineStr">
        <is>
          <t>Virtual environment and advanced red teaming algorithms for AI systems and agents</t>
        </is>
      </c>
      <c r="G31" s="2" t="inlineStr">
        <is>
          <t>Funded evaluation infrastructure</t>
        </is>
      </c>
      <c r="H31" s="2" t="inlineStr">
        <is>
          <t>Direct Schmidt Sciences project page</t>
        </is>
      </c>
      <c r="I31" s="2" t="inlineStr">
        <is>
          <t>Schmidt Science of Trustworthy AI program</t>
        </is>
      </c>
      <c r="J31" s="2" t="inlineStr">
        <is>
          <t>Academic trustworthy-ML/security research</t>
        </is>
      </c>
      <c r="K31" s="2" t="inlineStr">
        <is>
          <t>Not established from funder page</t>
        </is>
      </c>
      <c r="L31" s="2" t="inlineStr">
        <is>
          <t>Safety properties may be missed without sufficient model access and adversarial testing</t>
        </is>
      </c>
      <c r="M31" s="2" t="inlineStr">
        <is>
          <t>Red-team evaluation as a function of access</t>
        </is>
      </c>
      <c r="N31" s="2" t="inlineStr">
        <is>
          <t>Red-team findings under different access levels</t>
        </is>
      </c>
      <c r="O31" s="2" t="inlineStr">
        <is>
          <t>Funded technical research</t>
        </is>
      </c>
      <c r="P31" s="2" t="inlineStr">
        <is>
          <t>model/agent + evaluation access</t>
        </is>
      </c>
      <c r="Q31" s="2" t="inlineStr">
        <is>
          <t>Virtual environment with variable evaluator access</t>
        </is>
      </c>
      <c r="R31" s="2" t="inlineStr">
        <is>
          <t>Project will evaluate AI systems/agents and study required access levels</t>
        </is>
      </c>
      <c r="S31" s="2" t="inlineStr">
        <is>
          <t>No published result identified in this pass</t>
        </is>
      </c>
      <c r="T31" s="2" t="inlineStr">
        <is>
          <t>High</t>
        </is>
      </c>
      <c r="U31" s="2" t="inlineStr">
        <is>
          <t>Project description only</t>
        </is>
      </c>
      <c r="V31" s="2" t="inlineStr">
        <is>
          <t>Evaluation adequacy</t>
        </is>
      </c>
      <c r="W31" s="2" t="inlineStr">
        <is>
          <t>Not yet demonstrated</t>
        </is>
      </c>
      <c r="X31" s="2" t="inlineStr">
        <is>
          <t>Very high: access level is explicit independent variable</t>
        </is>
      </c>
      <c r="Y31" s="2" t="inlineStr">
        <is>
          <t>Direct fit to configuration/boundary sensitivity</t>
        </is>
      </c>
      <c r="Z31" s="2" t="inlineStr">
        <is>
          <t>Safety threat -&gt; evaluator access -&gt; red-team performance -&gt; discovered risk -&gt; assurance</t>
        </is>
      </c>
      <c r="AA31" s="2" t="inlineStr">
        <is>
          <t>https://www.schmidtsciences.org/grantee/bo-li/</t>
        </is>
      </c>
      <c r="AB31" s="2" t="inlineStr">
        <is>
          <t>https://www.schmidtsciences.org/trustworthy-ai/</t>
        </is>
      </c>
      <c r="AC31" s="2" t="inlineStr"/>
      <c r="AD31" s="2" t="inlineStr">
        <is>
          <t>No</t>
        </is>
      </c>
      <c r="AE31" s="2" t="inlineStr">
        <is>
          <t>Direct funder project page</t>
        </is>
      </c>
      <c r="AF31" s="2" t="inlineStr">
        <is>
          <t>Prospective record</t>
        </is>
      </c>
    </row>
    <row r="32">
      <c r="A32" s="2" t="inlineStr">
        <is>
          <t>P31</t>
        </is>
      </c>
      <c r="B32" s="2" t="inlineStr">
        <is>
          <t>Schmidt Sciences</t>
        </is>
      </c>
      <c r="C32" s="2" t="inlineStr">
        <is>
          <t>Science of Trustworthy AI</t>
        </is>
      </c>
      <c r="D32" s="2" t="inlineStr">
        <is>
          <t>2025</t>
        </is>
      </c>
      <c r="E32" s="2" t="inlineStr">
        <is>
          <t>Sanjeev Arora / Princeton University</t>
        </is>
      </c>
      <c r="F32" s="2" t="inlineStr">
        <is>
          <t>Framework for measuring upper-bound AI risk via skill emergence and LLM metacognition</t>
        </is>
      </c>
      <c r="G32" s="2" t="inlineStr">
        <is>
          <t>Funded evaluation research</t>
        </is>
      </c>
      <c r="H32" s="2" t="inlineStr">
        <is>
          <t>Direct Schmidt Sciences grantee page</t>
        </is>
      </c>
      <c r="I32" s="2" t="inlineStr">
        <is>
          <t>Schmidt Sciences Science of Trustworthy AI program</t>
        </is>
      </c>
      <c r="J32" s="2" t="inlineStr">
        <is>
          <t>Academic theoretical ML / AI safety</t>
        </is>
      </c>
      <c r="K32" s="2" t="inlineStr">
        <is>
          <t>Not established from funder page</t>
        </is>
      </c>
      <c r="L32" s="2" t="inlineStr">
        <is>
          <t>Standard red-teaming may only expose lower-bound risk and miss latent capabilities</t>
        </is>
      </c>
      <c r="M32" s="2" t="inlineStr">
        <is>
          <t>Upper-bound frontier-model risk / latent capability</t>
        </is>
      </c>
      <c r="N32" s="2" t="inlineStr">
        <is>
          <t>Framework derived from skill emergence and metacognition signals</t>
        </is>
      </c>
      <c r="O32" s="2" t="inlineStr">
        <is>
          <t>Prospective funded project; methods/results not yet established in funder description</t>
        </is>
      </c>
      <c r="P32" s="2" t="inlineStr">
        <is>
          <t>model</t>
        </is>
      </c>
      <c r="Q32" s="2" t="inlineStr">
        <is>
          <t>Frontier LLMs evaluated for latent/upper-bound risk signals</t>
        </is>
      </c>
      <c r="R32" s="2" t="inlineStr">
        <is>
          <t>Project aims to complement traditional lower-bound red teaming with upper-bound risk measurement.</t>
        </is>
      </c>
      <c r="S32" s="2" t="inlineStr">
        <is>
          <t>Not yet demonstrated in funder description.</t>
        </is>
      </c>
      <c r="T32" s="2" t="inlineStr">
        <is>
          <t>Prospective project; security relevance is programmatic rather than empirical at this stage.</t>
        </is>
      </c>
      <c r="U32" s="2" t="inlineStr">
        <is>
          <t>Pending</t>
        </is>
      </c>
      <c r="V32" s="2" t="inlineStr">
        <is>
          <t>Decision-relevant frontier risk estimation</t>
        </is>
      </c>
      <c r="W32" s="2" t="inlineStr">
        <is>
          <t>Program theory of change only</t>
        </is>
      </c>
      <c r="X32" s="2" t="inlineStr">
        <is>
          <t>High</t>
        </is>
      </c>
      <c r="Y32" s="2" t="inlineStr">
        <is>
          <t>Model-level upper-bound metrics may not predict deployed-system behavior or human/tool-mediated risk.</t>
        </is>
      </c>
      <c r="Z32" s="2" t="inlineStr">
        <is>
          <t>Latent skill/metacognition -&gt; upper-bound capability estimate -&gt; improved frontier risk decisions -&gt; safer deployment</t>
        </is>
      </c>
      <c r="AA32" s="2" t="inlineStr">
        <is>
          <t>https://www.schmidtsciences.org/grantee/sanjeev-arora/</t>
        </is>
      </c>
      <c r="AB32" s="2" t="inlineStr">
        <is>
          <t>https://www.schmidtsciences.org/trustworthy-ai/</t>
        </is>
      </c>
      <c r="AC32" s="2" t="inlineStr">
        <is>
          <t>https://www.schmidtsciences.org/grantee/sanjeev-arora/</t>
        </is>
      </c>
      <c r="AD32" s="2" t="inlineStr">
        <is>
          <t>No</t>
        </is>
      </c>
      <c r="AE32" s="2" t="inlineStr">
        <is>
          <t>Direct funder page</t>
        </is>
      </c>
      <c r="AF32" s="2" t="inlineStr">
        <is>
          <t>Useful counterexample to benchmark-only lower-bound measurement.</t>
        </is>
      </c>
    </row>
    <row r="33">
      <c r="A33" s="2" t="inlineStr">
        <is>
          <t>P32</t>
        </is>
      </c>
      <c r="B33" s="2" t="inlineStr">
        <is>
          <t>Schmidt Sciences</t>
        </is>
      </c>
      <c r="C33" s="2" t="inlineStr">
        <is>
          <t>Science of Trustworthy AI</t>
        </is>
      </c>
      <c r="D33" s="2" t="inlineStr">
        <is>
          <t>2025</t>
        </is>
      </c>
      <c r="E33" s="2" t="inlineStr">
        <is>
          <t>Eugene Bagdasarian &amp; Shlomo Zilberstein / UMass Amherst</t>
        </is>
      </c>
      <c r="F33" s="2" t="inlineStr">
        <is>
          <t>Methodology for AI agents to evaluate trustworthiness of other AI agents</t>
        </is>
      </c>
      <c r="G33" s="2" t="inlineStr">
        <is>
          <t>Funded multi-agent safety research</t>
        </is>
      </c>
      <c r="H33" s="2" t="inlineStr">
        <is>
          <t>Direct Schmidt Sciences grantee pages</t>
        </is>
      </c>
      <c r="I33" s="2" t="inlineStr">
        <is>
          <t>Schmidt Sciences Science of Trustworthy AI program</t>
        </is>
      </c>
      <c r="J33" s="2" t="inlineStr">
        <is>
          <t>Academic AI security / decision theory</t>
        </is>
      </c>
      <c r="K33" s="2" t="inlineStr">
        <is>
          <t>Bagdasarian also reported as Research Scientist at Google on funder page; no project-specific conflict established</t>
        </is>
      </c>
      <c r="L33" s="2" t="inlineStr">
        <is>
          <t>Agents may rely on untrustworthy peer agents in multi-agent systems</t>
        </is>
      </c>
      <c r="M33" s="2" t="inlineStr">
        <is>
          <t>Inter-agent trustworthiness and adaptive reliance</t>
        </is>
      </c>
      <c r="N33" s="2" t="inlineStr">
        <is>
          <t>Method for agents to evaluate peer trustworthiness and adjust behavior</t>
        </is>
      </c>
      <c r="O33" s="2" t="inlineStr">
        <is>
          <t>Prospective funded project</t>
        </is>
      </c>
      <c r="P33" s="2" t="inlineStr">
        <is>
          <t>multi-agent</t>
        </is>
      </c>
      <c r="Q33" s="2" t="inlineStr">
        <is>
          <t>Interacting AI agents with trust assessment and adaptive behavior</t>
        </is>
      </c>
      <c r="R33" s="2" t="inlineStr">
        <is>
          <t>Project aims to make agents evaluate trustworthiness of other agents and adjust behavior.</t>
        </is>
      </c>
      <c r="S33" s="2" t="inlineStr">
        <is>
          <t>Not yet demonstrated in funder description.</t>
        </is>
      </c>
      <c r="T33" s="2" t="inlineStr">
        <is>
          <t>Prospective; no downstream safety effect yet established.</t>
        </is>
      </c>
      <c r="U33" s="2" t="inlineStr">
        <is>
          <t>Pending</t>
        </is>
      </c>
      <c r="V33" s="2" t="inlineStr">
        <is>
          <t>Multi-agent resilience and safe coordination</t>
        </is>
      </c>
      <c r="W33" s="2" t="inlineStr">
        <is>
          <t>Conceptual/programmatic</t>
        </is>
      </c>
      <c r="X33" s="2" t="inlineStr">
        <is>
          <t>High</t>
        </is>
      </c>
      <c r="Y33" s="2" t="inlineStr">
        <is>
          <t>Trust calibration may depend on task, organizational incentives, users, and tool permissions.</t>
        </is>
      </c>
      <c r="Z33" s="2" t="inlineStr">
        <is>
          <t>Peer assessment -&gt; calibrated reliance -&gt; fewer propagated agent errors/attacks -&gt; safer multi-agent systems</t>
        </is>
      </c>
      <c r="AA33" s="2" t="inlineStr">
        <is>
          <t>https://www.schmidtsciences.org/grantee/eugene-bagdasarian/</t>
        </is>
      </c>
      <c r="AB33" s="2" t="inlineStr">
        <is>
          <t>https://www.schmidtsciences.org/trustworthy-ai/</t>
        </is>
      </c>
      <c r="AC33" s="2" t="inlineStr">
        <is>
          <t>https://www.schmidtsciences.org/grantee/eugene-bagdasarian/</t>
        </is>
      </c>
      <c r="AD33" s="2" t="inlineStr">
        <is>
          <t>No</t>
        </is>
      </c>
      <c r="AE33" s="2" t="inlineStr">
        <is>
          <t>Direct funder page</t>
        </is>
      </c>
      <c r="AF33" s="2" t="inlineStr">
        <is>
          <t>Relational by design: the unit of concern is agent-agent interaction.</t>
        </is>
      </c>
    </row>
    <row r="34">
      <c r="A34" s="2" t="inlineStr">
        <is>
          <t>P33</t>
        </is>
      </c>
      <c r="B34" s="2" t="inlineStr">
        <is>
          <t>Schmidt Sciences</t>
        </is>
      </c>
      <c r="C34" s="2" t="inlineStr">
        <is>
          <t>Science of Trustworthy AI</t>
        </is>
      </c>
      <c r="D34" s="2" t="inlineStr">
        <is>
          <t>2025</t>
        </is>
      </c>
      <c r="E34" s="2" t="inlineStr">
        <is>
          <t>Anna Leshinskaya / UC Irvine + collaborators</t>
        </is>
      </c>
      <c r="F34" s="2" t="inlineStr">
        <is>
          <t>Mechanistic cognitive evaluation framework for moral decision-making in AI and humans</t>
        </is>
      </c>
      <c r="G34" s="2" t="inlineStr">
        <is>
          <t>Funded evaluation research</t>
        </is>
      </c>
      <c r="H34" s="2" t="inlineStr">
        <is>
          <t>Direct Schmidt Sciences grantee page</t>
        </is>
      </c>
      <c r="I34" s="2" t="inlineStr">
        <is>
          <t>Schmidt Sciences Science of Trustworthy AI program</t>
        </is>
      </c>
      <c r="J34" s="2" t="inlineStr">
        <is>
          <t>Cognitive science + AI ethics/safety</t>
        </is>
      </c>
      <c r="K34" s="2" t="inlineStr">
        <is>
          <t>Not established from funder page</t>
        </is>
      </c>
      <c r="L34" s="2" t="inlineStr">
        <is>
          <t>Behavioral scores may obscure underlying decision processes relevant to safety</t>
        </is>
      </c>
      <c r="M34" s="2" t="inlineStr">
        <is>
          <t>Cognitive processes underlying moral decisions</t>
        </is>
      </c>
      <c r="N34" s="2" t="inlineStr">
        <is>
          <t>Automated annotation + Bayesian program learning meta-models</t>
        </is>
      </c>
      <c r="O34" s="2" t="inlineStr">
        <is>
          <t>Prospective funded project</t>
        </is>
      </c>
      <c r="P34" s="2" t="inlineStr">
        <is>
          <t>model+human-comparison</t>
        </is>
      </c>
      <c r="Q34" s="2" t="inlineStr">
        <is>
          <t>AI and human moral decision processes</t>
        </is>
      </c>
      <c r="R34" s="2" t="inlineStr">
        <is>
          <t>Project proposes interpretable mechanistic meta-models for safety-relevant moral reasoning.</t>
        </is>
      </c>
      <c r="S34" s="2" t="inlineStr">
        <is>
          <t>Not yet demonstrated in funder description.</t>
        </is>
      </c>
      <c r="T34" s="2" t="inlineStr">
        <is>
          <t>Normative/safety connection remains to be validated empirically.</t>
        </is>
      </c>
      <c r="U34" s="2" t="inlineStr">
        <is>
          <t>Pending</t>
        </is>
      </c>
      <c r="V34" s="2" t="inlineStr">
        <is>
          <t>Interpretability of safety-relevant decision processes</t>
        </is>
      </c>
      <c r="W34" s="2" t="inlineStr">
        <is>
          <t>Programmatic</t>
        </is>
      </c>
      <c r="X34" s="2" t="inlineStr">
        <is>
          <t>High</t>
        </is>
      </c>
      <c r="Y34" s="2" t="inlineStr">
        <is>
          <t>Moral-scenario performance may not transfer to operational deployment contexts.</t>
        </is>
      </c>
      <c r="Z34" s="2" t="inlineStr">
        <is>
          <t>Mechanistic evaluation -&gt; better understanding of decision process -&gt; improved safety diagnosis/intervention</t>
        </is>
      </c>
      <c r="AA34" s="2" t="inlineStr">
        <is>
          <t>https://www.schmidtsciences.org/grantee/anna-leshinskaya/</t>
        </is>
      </c>
      <c r="AB34" s="2" t="inlineStr">
        <is>
          <t>https://www.schmidtsciences.org/trustworthy-ai/</t>
        </is>
      </c>
      <c r="AC34" s="2" t="inlineStr">
        <is>
          <t>https://www.schmidtsciences.org/grantee/anna-leshinskaya/</t>
        </is>
      </c>
      <c r="AD34" s="2" t="inlineStr">
        <is>
          <t>No</t>
        </is>
      </c>
      <c r="AE34" s="2" t="inlineStr">
        <is>
          <t>Direct funder page</t>
        </is>
      </c>
      <c r="AF34" s="2" t="inlineStr">
        <is>
          <t>Adds a process-level/cognitive approach rather than only outcome scoring.</t>
        </is>
      </c>
    </row>
    <row r="35">
      <c r="A35" s="2" t="inlineStr">
        <is>
          <t>P34</t>
        </is>
      </c>
      <c r="B35" s="2" t="inlineStr">
        <is>
          <t>Schmidt Sciences</t>
        </is>
      </c>
      <c r="C35" s="2" t="inlineStr">
        <is>
          <t>Science of Trustworthy AI</t>
        </is>
      </c>
      <c r="D35" s="2" t="inlineStr">
        <is>
          <t>2025</t>
        </is>
      </c>
      <c r="E35" s="2" t="inlineStr">
        <is>
          <t>Tatsu Hashimoto / Stanford University</t>
        </is>
      </c>
      <c r="F35" s="2" t="inlineStr">
        <is>
          <t>New safety metrics for proactively identifying emergent unsafe AI capabilities</t>
        </is>
      </c>
      <c r="G35" s="2" t="inlineStr">
        <is>
          <t>Funded measurement research</t>
        </is>
      </c>
      <c r="H35" s="2" t="inlineStr">
        <is>
          <t>Direct Schmidt Sciences grantee page</t>
        </is>
      </c>
      <c r="I35" s="2" t="inlineStr">
        <is>
          <t>Schmidt Sciences Science of Trustworthy AI program</t>
        </is>
      </c>
      <c r="J35" s="2" t="inlineStr">
        <is>
          <t>Academic robust ML / NLP</t>
        </is>
      </c>
      <c r="K35" s="2" t="inlineStr">
        <is>
          <t>Not established from funder page</t>
        </is>
      </c>
      <c r="L35" s="2" t="inlineStr">
        <is>
          <t>Unsafe capabilities may emerge before existing metrics detect them</t>
        </is>
      </c>
      <c r="M35" s="2" t="inlineStr">
        <is>
          <t>Emergent unsafe capability</t>
        </is>
      </c>
      <c r="N35" s="2" t="inlineStr">
        <is>
          <t>New proactive safety metrics</t>
        </is>
      </c>
      <c r="O35" s="2" t="inlineStr">
        <is>
          <t>Prospective funded project</t>
        </is>
      </c>
      <c r="P35" s="2" t="inlineStr">
        <is>
          <t>model</t>
        </is>
      </c>
      <c r="Q35" s="2" t="inlineStr">
        <is>
          <t>Frontier models under changing/long-tail conditions</t>
        </is>
      </c>
      <c r="R35" s="2" t="inlineStr">
        <is>
          <t>Project aims to identify emergent unsafe capabilities proactively.</t>
        </is>
      </c>
      <c r="S35" s="2" t="inlineStr">
        <is>
          <t>Not yet demonstrated in funder description.</t>
        </is>
      </c>
      <c r="T35" s="2" t="inlineStr">
        <is>
          <t>Predictive validity is the core unresolved issue.</t>
        </is>
      </c>
      <c r="U35" s="2" t="inlineStr">
        <is>
          <t>Pending</t>
        </is>
      </c>
      <c r="V35" s="2" t="inlineStr">
        <is>
          <t>Earlier identification of unsafe capabilities</t>
        </is>
      </c>
      <c r="W35" s="2" t="inlineStr">
        <is>
          <t>Prospective</t>
        </is>
      </c>
      <c r="X35" s="2" t="inlineStr">
        <is>
          <t>High</t>
        </is>
      </c>
      <c r="Y35" s="2" t="inlineStr">
        <is>
          <t>Emergent behavior may be configuration- and deployment-dependent.</t>
        </is>
      </c>
      <c r="Z35" s="2" t="inlineStr">
        <is>
          <t>Metric signal -&gt; emergent capability detection -&gt; earlier intervention -&gt; reduced deployment risk</t>
        </is>
      </c>
      <c r="AA35" s="2" t="inlineStr">
        <is>
          <t>https://www.schmidtsciences.org/grantee/tatsu-hashimoto/</t>
        </is>
      </c>
      <c r="AB35" s="2" t="inlineStr">
        <is>
          <t>https://www.schmidtsciences.org/trustworthy-ai/</t>
        </is>
      </c>
      <c r="AC35" s="2" t="inlineStr">
        <is>
          <t>https://www.schmidtsciences.org/grantee/tatsu-hashimoto/</t>
        </is>
      </c>
      <c r="AD35" s="2" t="inlineStr">
        <is>
          <t>No</t>
        </is>
      </c>
      <c r="AE35" s="2" t="inlineStr">
        <is>
          <t>Direct funder page</t>
        </is>
      </c>
      <c r="AF35" s="2" t="inlineStr">
        <is>
          <t>Directly relevant to predictive-validity theme.</t>
        </is>
      </c>
    </row>
    <row r="36">
      <c r="A36" s="2" t="inlineStr">
        <is>
          <t>P35</t>
        </is>
      </c>
      <c r="B36" s="2" t="inlineStr">
        <is>
          <t>Schmidt Sciences</t>
        </is>
      </c>
      <c r="C36" s="2" t="inlineStr">
        <is>
          <t>Science of Trustworthy AI</t>
        </is>
      </c>
      <c r="D36" s="2" t="inlineStr">
        <is>
          <t>2025</t>
        </is>
      </c>
      <c r="E36" s="2" t="inlineStr">
        <is>
          <t>Yu Su / Ohio State University + collaborators</t>
        </is>
      </c>
      <c r="F36" s="2" t="inlineStr">
        <is>
          <t>Virtual environment for testing and defending computer-use AI agents in adversarial web settings</t>
        </is>
      </c>
      <c r="G36" s="2" t="inlineStr">
        <is>
          <t>Funded agent-safety evaluation infrastructure</t>
        </is>
      </c>
      <c r="H36" s="2" t="inlineStr">
        <is>
          <t>Direct Schmidt Sciences grantee page</t>
        </is>
      </c>
      <c r="I36" s="2" t="inlineStr">
        <is>
          <t>Schmidt Sciences Science of Trustworthy AI program</t>
        </is>
      </c>
      <c r="J36" s="2" t="inlineStr">
        <is>
          <t>Academic NLP / agent evaluation</t>
        </is>
      </c>
      <c r="K36" s="2" t="inlineStr">
        <is>
          <t>Not established from funder page</t>
        </is>
      </c>
      <c r="L36" s="2" t="inlineStr">
        <is>
          <t>Computer-use agents may fail under adversarial web interactions</t>
        </is>
      </c>
      <c r="M36" s="2" t="inlineStr">
        <is>
          <t>Agent safety and robustness under adversarial interaction</t>
        </is>
      </c>
      <c r="N36" s="2" t="inlineStr">
        <is>
          <t>Performance/safety in realistic virtual web-application environment</t>
        </is>
      </c>
      <c r="O36" s="2" t="inlineStr">
        <is>
          <t>Prospective funded project</t>
        </is>
      </c>
      <c r="P36" s="2" t="inlineStr">
        <is>
          <t>agent+tools+environment</t>
        </is>
      </c>
      <c r="Q36" s="2" t="inlineStr">
        <is>
          <t>Computer-use agents interacting with simulated internet/web applications</t>
        </is>
      </c>
      <c r="R36" s="2" t="inlineStr">
        <is>
          <t>Project aims to test and defend computer-use agents in adversarial settings resembling real web applications.</t>
        </is>
      </c>
      <c r="S36" s="2" t="inlineStr">
        <is>
          <t>Not yet demonstrated in funder description.</t>
        </is>
      </c>
      <c r="T36" s="2" t="inlineStr">
        <is>
          <t>Ecological validity depends on realism of simulated environment and transfer to deployment.</t>
        </is>
      </c>
      <c r="U36" s="2" t="inlineStr">
        <is>
          <t>Pending</t>
        </is>
      </c>
      <c r="V36" s="2" t="inlineStr">
        <is>
          <t>Reduced unsafe/compromised behavior by computer-use agents</t>
        </is>
      </c>
      <c r="W36" s="2" t="inlineStr">
        <is>
          <t>Prospective</t>
        </is>
      </c>
      <c r="X36" s="2" t="inlineStr">
        <is>
          <t>Moderate</t>
        </is>
      </c>
      <c r="Y36" s="2" t="inlineStr">
        <is>
          <t>Environment is broader than static benchmark but remains simulated.</t>
        </is>
      </c>
      <c r="Z36" s="2" t="inlineStr">
        <is>
          <t>Adversarial environment -&gt; exposed agent failure modes -&gt; defenses -&gt; safer deployed agents</t>
        </is>
      </c>
      <c r="AA36" s="2" t="inlineStr">
        <is>
          <t>https://www.schmidtsciences.org/grantee/yu-su/</t>
        </is>
      </c>
      <c r="AB36" s="2" t="inlineStr">
        <is>
          <t>https://www.schmidtsciences.org/trustworthy-ai/</t>
        </is>
      </c>
      <c r="AC36" s="2" t="inlineStr">
        <is>
          <t>https://www.schmidtsciences.org/grantee/yu-su/</t>
        </is>
      </c>
      <c r="AD36" s="2" t="inlineStr">
        <is>
          <t>No</t>
        </is>
      </c>
      <c r="AE36" s="2" t="inlineStr">
        <is>
          <t>Direct funder page</t>
        </is>
      </c>
      <c r="AF36" s="2" t="inlineStr">
        <is>
          <t>Moves measurement from model-only to interactive environment.</t>
        </is>
      </c>
    </row>
    <row r="37">
      <c r="A37" s="2" t="inlineStr">
        <is>
          <t>P36</t>
        </is>
      </c>
      <c r="B37" s="2" t="inlineStr">
        <is>
          <t>Schmidt Sciences</t>
        </is>
      </c>
      <c r="C37" s="2" t="inlineStr">
        <is>
          <t>Science of Trustworthy AI</t>
        </is>
      </c>
      <c r="D37" s="2" t="inlineStr">
        <is>
          <t>2025</t>
        </is>
      </c>
      <c r="E37" s="2" t="inlineStr">
        <is>
          <t>Evan Miyazono &amp; Daniel Windham / Atlas Computing</t>
        </is>
      </c>
      <c r="F37" s="2" t="inlineStr">
        <is>
          <t>AI tool for generating, reviewing, and validating formal specifications for code</t>
        </is>
      </c>
      <c r="G37" s="2" t="inlineStr">
        <is>
          <t>Funded verification infrastructure</t>
        </is>
      </c>
      <c r="H37" s="2" t="inlineStr">
        <is>
          <t>Direct Schmidt Sciences grantee page</t>
        </is>
      </c>
      <c r="I37" s="2" t="inlineStr">
        <is>
          <t>Schmidt Sciences Science of Trustworthy AI program</t>
        </is>
      </c>
      <c r="J37" s="2" t="inlineStr">
        <is>
          <t>Formal methods / software assurance</t>
        </is>
      </c>
      <c r="K37" s="2" t="inlineStr">
        <is>
          <t>Not established from funder page</t>
        </is>
      </c>
      <c r="L37" s="2" t="inlineStr">
        <is>
          <t>AI-written code may be inaccurate or unsafe without verifiable specifications</t>
        </is>
      </c>
      <c r="M37" s="2" t="inlineStr">
        <is>
          <t>Correctness of AI-generated code relative to formal specifications</t>
        </is>
      </c>
      <c r="N37" s="2" t="inlineStr">
        <is>
          <t>Formal specification generation/review/validation</t>
        </is>
      </c>
      <c r="O37" s="2" t="inlineStr">
        <is>
          <t>Prospective funded project</t>
        </is>
      </c>
      <c r="P37" s="2" t="inlineStr">
        <is>
          <t>agent+verification-tool</t>
        </is>
      </c>
      <c r="Q37" s="2" t="inlineStr">
        <is>
          <t>AI code generation paired with formal specification verifier</t>
        </is>
      </c>
      <c r="R37" s="2" t="inlineStr">
        <is>
          <t>Formal specifications can help test accuracy of AI systems that write code.</t>
        </is>
      </c>
      <c r="S37" s="2" t="inlineStr">
        <is>
          <t>Not yet demonstrated in funder description.</t>
        </is>
      </c>
      <c r="T37" s="2" t="inlineStr">
        <is>
          <t>Security benefit depends on specification completeness and deployability.</t>
        </is>
      </c>
      <c r="U37" s="2" t="inlineStr">
        <is>
          <t>Pending</t>
        </is>
      </c>
      <c r="V37" s="2" t="inlineStr">
        <is>
          <t>Software correctness/security</t>
        </is>
      </c>
      <c r="W37" s="2" t="inlineStr">
        <is>
          <t>Prospective</t>
        </is>
      </c>
      <c r="X37" s="2" t="inlineStr">
        <is>
          <t>Moderate</t>
        </is>
      </c>
      <c r="Y37" s="2" t="inlineStr">
        <is>
          <t>Formal verification may omit requirements, integration behavior, or operational context.</t>
        </is>
      </c>
      <c r="Z37" s="2" t="inlineStr">
        <is>
          <t>Formal spec -&gt; machine-checkable verification -&gt; fewer code errors -&gt; improved system assurance</t>
        </is>
      </c>
      <c r="AA37" s="2" t="inlineStr">
        <is>
          <t>https://www.schmidtsciences.org/grantee/evan-miyazono/</t>
        </is>
      </c>
      <c r="AB37" s="2" t="inlineStr">
        <is>
          <t>https://www.schmidtsciences.org/trustworthy-ai/</t>
        </is>
      </c>
      <c r="AC37" s="2" t="inlineStr">
        <is>
          <t>https://www.schmidtsciences.org/grantee/evan-miyazono/</t>
        </is>
      </c>
      <c r="AD37" s="2" t="inlineStr">
        <is>
          <t>No</t>
        </is>
      </c>
      <c r="AE37" s="2" t="inlineStr">
        <is>
          <t>Direct funder page</t>
        </is>
      </c>
      <c r="AF37" s="2" t="inlineStr">
        <is>
          <t>Useful contrast: formal correctness versus sociotechnical security.</t>
        </is>
      </c>
    </row>
    <row r="38">
      <c r="A38" s="2" t="inlineStr">
        <is>
          <t>P37</t>
        </is>
      </c>
      <c r="B38" s="2" t="inlineStr">
        <is>
          <t>Schmidt Sciences</t>
        </is>
      </c>
      <c r="C38" s="2" t="inlineStr">
        <is>
          <t>Science of Trustworthy AI</t>
        </is>
      </c>
      <c r="D38" s="2" t="inlineStr">
        <is>
          <t>2025</t>
        </is>
      </c>
      <c r="E38" s="2" t="inlineStr">
        <is>
          <t>Dawn Song / UC Berkeley</t>
        </is>
      </c>
      <c r="F38" s="2" t="inlineStr">
        <is>
          <t>Safety in multi-agent systems using theory, representation engineering, and simulation</t>
        </is>
      </c>
      <c r="G38" s="2" t="inlineStr">
        <is>
          <t>Funded multi-agent safety research</t>
        </is>
      </c>
      <c r="H38" s="2" t="inlineStr">
        <is>
          <t>Direct Schmidt Sciences grantee page</t>
        </is>
      </c>
      <c r="I38" s="2" t="inlineStr">
        <is>
          <t>Schmidt Sciences Science of Trustworthy AI program</t>
        </is>
      </c>
      <c r="J38" s="2" t="inlineStr">
        <is>
          <t>Academic AI security / privacy</t>
        </is>
      </c>
      <c r="K38" s="2" t="inlineStr">
        <is>
          <t>Funder page notes entrepreneurial activity but no project-specific conflict established</t>
        </is>
      </c>
      <c r="L38" s="2" t="inlineStr">
        <is>
          <t>Unsafe collective dynamics can emerge from interacting AI agents</t>
        </is>
      </c>
      <c r="M38" s="2" t="inlineStr">
        <is>
          <t>Multi-agent safety / emergent interaction risk</t>
        </is>
      </c>
      <c r="N38" s="2" t="inlineStr">
        <is>
          <t>Game theory, representation engineering, multi-agent simulations</t>
        </is>
      </c>
      <c r="O38" s="2" t="inlineStr">
        <is>
          <t>Prospective funded project</t>
        </is>
      </c>
      <c r="P38" s="2" t="inlineStr">
        <is>
          <t>multi-agent</t>
        </is>
      </c>
      <c r="Q38" s="2" t="inlineStr">
        <is>
          <t>Interacting AI agents in modeled/simulated systems</t>
        </is>
      </c>
      <c r="R38" s="2" t="inlineStr">
        <is>
          <t>Project addresses safety in multi-agent systems through theoretical, systematic, and empirical approaches.</t>
        </is>
      </c>
      <c r="S38" s="2" t="inlineStr">
        <is>
          <t>Not yet demonstrated in funder description.</t>
        </is>
      </c>
      <c r="T38" s="2" t="inlineStr">
        <is>
          <t>Transfer from simulation to deployed multi-agent ecosystems remains open.</t>
        </is>
      </c>
      <c r="U38" s="2" t="inlineStr">
        <is>
          <t>Pending</t>
        </is>
      </c>
      <c r="V38" s="2" t="inlineStr">
        <is>
          <t>Safe multi-agent coordination</t>
        </is>
      </c>
      <c r="W38" s="2" t="inlineStr">
        <is>
          <t>Prospective</t>
        </is>
      </c>
      <c r="X38" s="2" t="inlineStr">
        <is>
          <t>High</t>
        </is>
      </c>
      <c r="Y38" s="2" t="inlineStr">
        <is>
          <t>Collective dynamics depend strongly on environment, incentives, communication, and authority structure.</t>
        </is>
      </c>
      <c r="Z38" s="2" t="inlineStr">
        <is>
          <t>Characterize interactions -&gt; identify unsafe dynamics -&gt; interventions -&gt; safer multi-agent systems</t>
        </is>
      </c>
      <c r="AA38" s="2" t="inlineStr">
        <is>
          <t>https://www.schmidtsciences.org/grantee/dawn-song/</t>
        </is>
      </c>
      <c r="AB38" s="2" t="inlineStr">
        <is>
          <t>https://www.schmidtsciences.org/trustworthy-ai/</t>
        </is>
      </c>
      <c r="AC38" s="2" t="inlineStr">
        <is>
          <t>https://www.schmidtsciences.org/grantee/dawn-song/</t>
        </is>
      </c>
      <c r="AD38" s="2" t="inlineStr">
        <is>
          <t>No</t>
        </is>
      </c>
      <c r="AE38" s="2" t="inlineStr">
        <is>
          <t>Direct funder page</t>
        </is>
      </c>
      <c r="AF38" s="2" t="inlineStr">
        <is>
          <t>Directly relevant to relational emergence.</t>
        </is>
      </c>
    </row>
    <row r="39">
      <c r="A39" s="2" t="inlineStr">
        <is>
          <t>P38</t>
        </is>
      </c>
      <c r="B39" s="2" t="inlineStr">
        <is>
          <t>Schmidt Sciences</t>
        </is>
      </c>
      <c r="C39" s="2" t="inlineStr">
        <is>
          <t>Science of Trustworthy AI</t>
        </is>
      </c>
      <c r="D39" s="2" t="inlineStr">
        <is>
          <t>2025</t>
        </is>
      </c>
      <c r="E39" s="2" t="inlineStr">
        <is>
          <t>Matthias Hein &amp; Jonas Geiping / University of Tübingen</t>
        </is>
      </c>
      <c r="F39" s="2" t="inlineStr">
        <is>
          <t>Investigation of why AI systems become less safe over extended operation</t>
        </is>
      </c>
      <c r="G39" s="2" t="inlineStr">
        <is>
          <t>Funded long-horizon safety research</t>
        </is>
      </c>
      <c r="H39" s="2" t="inlineStr">
        <is>
          <t>Direct Schmidt Sciences grantee page</t>
        </is>
      </c>
      <c r="I39" s="2" t="inlineStr">
        <is>
          <t>Schmidt Sciences Science of Trustworthy AI program</t>
        </is>
      </c>
      <c r="J39" s="2" t="inlineStr">
        <is>
          <t>Academic robust/safe ML</t>
        </is>
      </c>
      <c r="K39" s="2" t="inlineStr">
        <is>
          <t>Not established from funder page</t>
        </is>
      </c>
      <c r="L39" s="2" t="inlineStr">
        <is>
          <t>Safety degrades over extended interaction/time horizons</t>
        </is>
      </c>
      <c r="M39" s="2" t="inlineStr">
        <is>
          <t>Long-horizon safety degradation</t>
        </is>
      </c>
      <c r="N39" s="2" t="inlineStr">
        <is>
          <t>Long-duration model/agent evaluation over extended operation</t>
        </is>
      </c>
      <c r="O39" s="2" t="inlineStr">
        <is>
          <t>Prospective funded project</t>
        </is>
      </c>
      <c r="P39" s="2" t="inlineStr">
        <is>
          <t>agent/long-horizon</t>
        </is>
      </c>
      <c r="Q39" s="2" t="inlineStr">
        <is>
          <t>AI systems evaluated across extended periods rather than isolated turns</t>
        </is>
      </c>
      <c r="R39" s="2" t="inlineStr">
        <is>
          <t>Project will investigate how and why safety degrades with extended operation.</t>
        </is>
      </c>
      <c r="S39" s="2" t="inlineStr">
        <is>
          <t>Not yet demonstrated in funder description.</t>
        </is>
      </c>
      <c r="T39" s="2" t="inlineStr">
        <is>
          <t>Mechanisms and deployment relevance are research targets, not established results.</t>
        </is>
      </c>
      <c r="U39" s="2" t="inlineStr">
        <is>
          <t>Pending</t>
        </is>
      </c>
      <c r="V39" s="2" t="inlineStr">
        <is>
          <t>Long-horizon deployment safety</t>
        </is>
      </c>
      <c r="W39" s="2" t="inlineStr">
        <is>
          <t>Prospective</t>
        </is>
      </c>
      <c r="X39" s="2" t="inlineStr">
        <is>
          <t>Moderate</t>
        </is>
      </c>
      <c r="Y39" s="2" t="inlineStr">
        <is>
          <t>Extended operation captures temporal relationships but may still omit organization/user dynamics.</t>
        </is>
      </c>
      <c r="Z39" s="2" t="inlineStr">
        <is>
          <t>Long-horizon exposure -&gt; observe degradation -&gt; identify mechanisms -&gt; improve sustained safety</t>
        </is>
      </c>
      <c r="AA39" s="2" t="inlineStr">
        <is>
          <t>https://www.schmidtsciences.org/grantee/matthias-hein/</t>
        </is>
      </c>
      <c r="AB39" s="2" t="inlineStr">
        <is>
          <t>https://www.schmidtsciences.org/trustworthy-ai/</t>
        </is>
      </c>
      <c r="AC39" s="2" t="inlineStr">
        <is>
          <t>https://www.schmidtsciences.org/grantee/matthias-hein/</t>
        </is>
      </c>
      <c r="AD39" s="2" t="inlineStr">
        <is>
          <t>No</t>
        </is>
      </c>
      <c r="AE39" s="2" t="inlineStr">
        <is>
          <t>Direct funder page</t>
        </is>
      </c>
      <c r="AF39" s="2" t="inlineStr">
        <is>
          <t>Adds time as a first-class evaluation dimension.</t>
        </is>
      </c>
    </row>
    <row r="40">
      <c r="A40" s="2" t="inlineStr">
        <is>
          <t>P39</t>
        </is>
      </c>
      <c r="B40" s="2" t="inlineStr">
        <is>
          <t>Schmidt Sciences</t>
        </is>
      </c>
      <c r="C40" s="2" t="inlineStr">
        <is>
          <t>Science of Trustworthy AI</t>
        </is>
      </c>
      <c r="D40" s="2" t="inlineStr">
        <is>
          <t>2025</t>
        </is>
      </c>
      <c r="E40" s="2" t="inlineStr">
        <is>
          <t>Zhijing Jin &amp; Mrinmaya Sachan / University of Toronto</t>
        </is>
      </c>
      <c r="F40" s="2" t="inlineStr">
        <is>
          <t>Distinguishing genuine reasoning from memorization in LLMs</t>
        </is>
      </c>
      <c r="G40" s="2" t="inlineStr">
        <is>
          <t>Funded evaluation/interpretability research</t>
        </is>
      </c>
      <c r="H40" s="2" t="inlineStr">
        <is>
          <t>Direct Schmidt Sciences grantee page</t>
        </is>
      </c>
      <c r="I40" s="2" t="inlineStr">
        <is>
          <t>Schmidt Sciences Science of Trustworthy AI program</t>
        </is>
      </c>
      <c r="J40" s="2" t="inlineStr">
        <is>
          <t>Academic NLP / causal inference / AI safety</t>
        </is>
      </c>
      <c r="K40" s="2" t="inlineStr">
        <is>
          <t>Not established from funder page</t>
        </is>
      </c>
      <c r="L40" s="2" t="inlineStr">
        <is>
          <t>Benchmarks may overstate reasoning if models reproduce memorized patterns</t>
        </is>
      </c>
      <c r="M40" s="2" t="inlineStr">
        <is>
          <t>Genuine reasoning versus memorization</t>
        </is>
      </c>
      <c r="N40" s="2" t="inlineStr">
        <is>
          <t>Interpretability/evaluation methods designed to separate reasoning from memory</t>
        </is>
      </c>
      <c r="O40" s="2" t="inlineStr">
        <is>
          <t>Prospective funded project</t>
        </is>
      </c>
      <c r="P40" s="2" t="inlineStr">
        <is>
          <t>model</t>
        </is>
      </c>
      <c r="Q40" s="2" t="inlineStr">
        <is>
          <t>LLMs evaluated for reasoning mechanism</t>
        </is>
      </c>
      <c r="R40" s="2" t="inlineStr">
        <is>
          <t>Project aims to enhance interpretability and evaluation by separating genuine reasoning from memorization.</t>
        </is>
      </c>
      <c r="S40" s="2" t="inlineStr">
        <is>
          <t>Not yet demonstrated in funder description.</t>
        </is>
      </c>
      <c r="T40" s="2" t="inlineStr">
        <is>
          <t>Downstream safety relevance depends on whether the distinction predicts behavior under novel conditions.</t>
        </is>
      </c>
      <c r="U40" s="2" t="inlineStr">
        <is>
          <t>Pending</t>
        </is>
      </c>
      <c r="V40" s="2" t="inlineStr">
        <is>
          <t>Validity of reasoning/capability evaluations</t>
        </is>
      </c>
      <c r="W40" s="2" t="inlineStr">
        <is>
          <t>Indirect/prospective</t>
        </is>
      </c>
      <c r="X40" s="2" t="inlineStr">
        <is>
          <t>High</t>
        </is>
      </c>
      <c r="Y40" s="2" t="inlineStr">
        <is>
          <t>Model-internal reasoning measures may not predict tool/workflow behavior.</t>
        </is>
      </c>
      <c r="Z40" s="2" t="inlineStr">
        <is>
          <t>Mechanism-sensitive evaluation -&gt; better construct validity -&gt; better capability/safety decisions</t>
        </is>
      </c>
      <c r="AA40" s="2" t="inlineStr">
        <is>
          <t>https://www.schmidtsciences.org/grantee/zhijing-jin/</t>
        </is>
      </c>
      <c r="AB40" s="2" t="inlineStr">
        <is>
          <t>https://www.schmidtsciences.org/trustworthy-ai/</t>
        </is>
      </c>
      <c r="AC40" s="2" t="inlineStr">
        <is>
          <t>https://www.schmidtsciences.org/grantee/zhijing-jin/</t>
        </is>
      </c>
      <c r="AD40" s="2" t="inlineStr">
        <is>
          <t>No</t>
        </is>
      </c>
      <c r="AE40" s="2" t="inlineStr">
        <is>
          <t>Direct funder page</t>
        </is>
      </c>
      <c r="AF40" s="2" t="inlineStr">
        <is>
          <t>Strong fit with proxy-versus-construct analysis.</t>
        </is>
      </c>
    </row>
    <row r="41">
      <c r="A41" s="2" t="inlineStr">
        <is>
          <t>P40</t>
        </is>
      </c>
      <c r="B41" s="2" t="inlineStr">
        <is>
          <t>Schmidt Sciences</t>
        </is>
      </c>
      <c r="C41" s="2" t="inlineStr">
        <is>
          <t>Science of Trustworthy AI</t>
        </is>
      </c>
      <c r="D41" s="2" t="inlineStr">
        <is>
          <t>2025</t>
        </is>
      </c>
      <c r="E41" s="2" t="inlineStr">
        <is>
          <t>Sharon Li / University of Wisconsin-Madison</t>
        </is>
      </c>
      <c r="F41" s="2" t="inlineStr">
        <is>
          <t>Formal confidence guarantees for generative LLM outputs using conformal prediction</t>
        </is>
      </c>
      <c r="G41" s="2" t="inlineStr">
        <is>
          <t>Funded uncertainty/reliability research</t>
        </is>
      </c>
      <c r="H41" s="2" t="inlineStr">
        <is>
          <t>Direct Schmidt Sciences grantee page</t>
        </is>
      </c>
      <c r="I41" s="2" t="inlineStr">
        <is>
          <t>Schmidt Sciences Science of Trustworthy AI program</t>
        </is>
      </c>
      <c r="J41" s="2" t="inlineStr">
        <is>
          <t>Academic safe/reliable ML</t>
        </is>
      </c>
      <c r="K41" s="2" t="inlineStr">
        <is>
          <t>Not established from funder page</t>
        </is>
      </c>
      <c r="L41" s="2" t="inlineStr">
        <is>
          <t>LLM outputs lack calibrated, actionable confidence guarantees</t>
        </is>
      </c>
      <c r="M41" s="2" t="inlineStr">
        <is>
          <t>Output uncertainty / confidence validity</t>
        </is>
      </c>
      <c r="N41" s="2" t="inlineStr">
        <is>
          <t>Conformal prediction adapted to sequential generative outputs</t>
        </is>
      </c>
      <c r="O41" s="2" t="inlineStr">
        <is>
          <t>Prospective funded project</t>
        </is>
      </c>
      <c r="P41" s="2" t="inlineStr">
        <is>
          <t>model</t>
        </is>
      </c>
      <c r="Q41" s="2" t="inlineStr">
        <is>
          <t>Generative LLM outputs with statistical confidence framework</t>
        </is>
      </c>
      <c r="R41" s="2" t="inlineStr">
        <is>
          <t>Project aims to provide formal confidence guarantees for LLM outputs.</t>
        </is>
      </c>
      <c r="S41" s="2" t="inlineStr">
        <is>
          <t>Not yet demonstrated in funder description.</t>
        </is>
      </c>
      <c r="T41" s="2" t="inlineStr">
        <is>
          <t>Formal calibration may not map directly to task/system-level risk.</t>
        </is>
      </c>
      <c r="U41" s="2" t="inlineStr">
        <is>
          <t>Pending</t>
        </is>
      </c>
      <c r="V41" s="2" t="inlineStr">
        <is>
          <t>Reliable use of LLM outputs</t>
        </is>
      </c>
      <c r="W41" s="2" t="inlineStr">
        <is>
          <t>Indirect/prospective</t>
        </is>
      </c>
      <c r="X41" s="2" t="inlineStr">
        <is>
          <t>High</t>
        </is>
      </c>
      <c r="Y41" s="2" t="inlineStr">
        <is>
          <t>Output-level uncertainty does not capture downstream human/tool interpretation.</t>
        </is>
      </c>
      <c r="Z41" s="2" t="inlineStr">
        <is>
          <t>Confidence guarantee -&gt; calibrated reliance -&gt; fewer unrecognized errors -&gt; safer use</t>
        </is>
      </c>
      <c r="AA41" s="2" t="inlineStr">
        <is>
          <t>https://www.schmidtsciences.org/grantee/sharon-li/</t>
        </is>
      </c>
      <c r="AB41" s="2" t="inlineStr">
        <is>
          <t>https://www.schmidtsciences.org/trustworthy-ai/</t>
        </is>
      </c>
      <c r="AC41" s="2" t="inlineStr">
        <is>
          <t>https://www.schmidtsciences.org/grantee/sharon-li/</t>
        </is>
      </c>
      <c r="AD41" s="2" t="inlineStr">
        <is>
          <t>No</t>
        </is>
      </c>
      <c r="AE41" s="2" t="inlineStr">
        <is>
          <t>Direct funder page</t>
        </is>
      </c>
      <c r="AF41" s="2" t="inlineStr">
        <is>
          <t>Good test of whether calibration translates to system safety.</t>
        </is>
      </c>
    </row>
    <row r="42">
      <c r="A42" s="2" t="inlineStr">
        <is>
          <t>P41</t>
        </is>
      </c>
      <c r="B42" s="2" t="inlineStr">
        <is>
          <t>Schmidt Sciences</t>
        </is>
      </c>
      <c r="C42" s="2" t="inlineStr">
        <is>
          <t>Science of Trustworthy AI</t>
        </is>
      </c>
      <c r="D42" s="2" t="inlineStr">
        <is>
          <t>2025</t>
        </is>
      </c>
      <c r="E42" s="2" t="inlineStr">
        <is>
          <t>Karthik Narasimhan / Princeton University</t>
        </is>
      </c>
      <c r="F42" s="2" t="inlineStr">
        <is>
          <t>Benchmarks, tests, and metrics for reliability and catastrophic failures of software-engineering agents</t>
        </is>
      </c>
      <c r="G42" s="2" t="inlineStr">
        <is>
          <t>Funded agent reliability evaluation</t>
        </is>
      </c>
      <c r="H42" s="2" t="inlineStr">
        <is>
          <t>Direct Schmidt Sciences grantee page</t>
        </is>
      </c>
      <c r="I42" s="2" t="inlineStr">
        <is>
          <t>Schmidt Sciences Science of Trustworthy AI program</t>
        </is>
      </c>
      <c r="J42" s="2" t="inlineStr">
        <is>
          <t>Academic language + decision-making / agents</t>
        </is>
      </c>
      <c r="K42" s="2" t="inlineStr">
        <is>
          <t>Not established from funder page</t>
        </is>
      </c>
      <c r="L42" s="2" t="inlineStr">
        <is>
          <t>Software-engineering agents may exhibit rare catastrophic failures missed by average performance metrics</t>
        </is>
      </c>
      <c r="M42" s="2" t="inlineStr">
        <is>
          <t>Reliability/consistency and catastrophic SWE-agent failure</t>
        </is>
      </c>
      <c r="N42" s="2" t="inlineStr">
        <is>
          <t>Benchmarks/tests/metrics inspired by ToolEmu-style tool-use evaluation</t>
        </is>
      </c>
      <c r="O42" s="2" t="inlineStr">
        <is>
          <t>Prospective funded project</t>
        </is>
      </c>
      <c r="P42" s="2" t="inlineStr">
        <is>
          <t>agent+tools</t>
        </is>
      </c>
      <c r="Q42" s="2" t="inlineStr">
        <is>
          <t>Software-engineering agents operating through development tools</t>
        </is>
      </c>
      <c r="R42" s="2" t="inlineStr">
        <is>
          <t>Project focuses on identifying potential catastrophic failures rather than only average task success.</t>
        </is>
      </c>
      <c r="S42" s="2" t="inlineStr">
        <is>
          <t>Not yet demonstrated in funder description.</t>
        </is>
      </c>
      <c r="T42" s="2" t="inlineStr">
        <is>
          <t>Predictive link from benchmark failures to deployed catastrophic failures remains to be established.</t>
        </is>
      </c>
      <c r="U42" s="2" t="inlineStr">
        <is>
          <t>Pending</t>
        </is>
      </c>
      <c r="V42" s="2" t="inlineStr">
        <is>
          <t>Catastrophic failure risk in SWE-agent deployment</t>
        </is>
      </c>
      <c r="W42" s="2" t="inlineStr">
        <is>
          <t>Prospective</t>
        </is>
      </c>
      <c r="X42" s="2" t="inlineStr">
        <is>
          <t>Moderate</t>
        </is>
      </c>
      <c r="Y42" s="2" t="inlineStr">
        <is>
          <t>Tool-using context is included, but production organizational controls may matter.</t>
        </is>
      </c>
      <c r="Z42" s="2" t="inlineStr">
        <is>
          <t>Reliability/catastrophic metrics -&gt; identify failure modes -&gt; safer SWE-agent deployment</t>
        </is>
      </c>
      <c r="AA42" s="2" t="inlineStr">
        <is>
          <t>https://www.schmidtsciences.org/grantee/karthik-narasimhan/</t>
        </is>
      </c>
      <c r="AB42" s="2" t="inlineStr">
        <is>
          <t>https://www.schmidtsciences.org/trustworthy-ai/</t>
        </is>
      </c>
      <c r="AC42" s="2" t="inlineStr">
        <is>
          <t>https://www.schmidtsciences.org/grantee/karthik-narasimhan/</t>
        </is>
      </c>
      <c r="AD42" s="2" t="inlineStr">
        <is>
          <t>No</t>
        </is>
      </c>
      <c r="AE42" s="2" t="inlineStr">
        <is>
          <t>Direct funder page</t>
        </is>
      </c>
      <c r="AF42" s="2" t="inlineStr">
        <is>
          <t>Explicitly addresses tail/catastrophic failure measurement.</t>
        </is>
      </c>
    </row>
    <row r="43">
      <c r="A43" s="2" t="inlineStr">
        <is>
          <t>P42</t>
        </is>
      </c>
      <c r="B43" s="2" t="inlineStr">
        <is>
          <t>Schmidt Sciences</t>
        </is>
      </c>
      <c r="C43" s="2" t="inlineStr">
        <is>
          <t>Science of Trustworthy AI</t>
        </is>
      </c>
      <c r="D43" s="2" t="inlineStr">
        <is>
          <t>2025</t>
        </is>
      </c>
      <c r="E43" s="2" t="inlineStr">
        <is>
          <t>Arvind Narayanan / Princeton University</t>
        </is>
      </c>
      <c r="F43" s="2" t="inlineStr">
        <is>
          <t>Verifier-based methods for improving AI-agent reliability</t>
        </is>
      </c>
      <c r="G43" s="2" t="inlineStr">
        <is>
          <t>Funded agent assurance research</t>
        </is>
      </c>
      <c r="H43" s="2" t="inlineStr">
        <is>
          <t>Direct Schmidt Sciences grantee page</t>
        </is>
      </c>
      <c r="I43" s="2" t="inlineStr">
        <is>
          <t>Schmidt Sciences Science of Trustworthy AI program</t>
        </is>
      </c>
      <c r="J43" s="2" t="inlineStr">
        <is>
          <t>Academic technology policy / AI accountability</t>
        </is>
      </c>
      <c r="K43" s="2" t="inlineStr">
        <is>
          <t>Not established from funder page</t>
        </is>
      </c>
      <c r="L43" s="2" t="inlineStr">
        <is>
          <t>Agents may execute incorrect actions without reliable verification</t>
        </is>
      </c>
      <c r="M43" s="2" t="inlineStr">
        <is>
          <t>Agent output/action correctness</t>
        </is>
      </c>
      <c r="N43" s="2" t="inlineStr">
        <is>
          <t>Verifiers that check AI-system accuracy</t>
        </is>
      </c>
      <c r="O43" s="2" t="inlineStr">
        <is>
          <t>Prospective funded project</t>
        </is>
      </c>
      <c r="P43" s="2" t="inlineStr">
        <is>
          <t>agent+verifier</t>
        </is>
      </c>
      <c r="Q43" s="2" t="inlineStr">
        <is>
          <t>AI agents paired with independent verification mechanisms</t>
        </is>
      </c>
      <c r="R43" s="2" t="inlineStr">
        <is>
          <t>Project intends to design and use verifiers to improve AI-agent reliability.</t>
        </is>
      </c>
      <c r="S43" s="2" t="inlineStr">
        <is>
          <t>Not yet demonstrated in funder description.</t>
        </is>
      </c>
      <c r="T43" s="2" t="inlineStr">
        <is>
          <t>Verifier performance may itself be context-/capability-dependent.</t>
        </is>
      </c>
      <c r="U43" s="2" t="inlineStr">
        <is>
          <t>Pending</t>
        </is>
      </c>
      <c r="V43" s="2" t="inlineStr">
        <is>
          <t>Reliable agent action</t>
        </is>
      </c>
      <c r="W43" s="2" t="inlineStr">
        <is>
          <t>Prospective</t>
        </is>
      </c>
      <c r="X43" s="2" t="inlineStr">
        <is>
          <t>Moderate</t>
        </is>
      </c>
      <c r="Y43" s="2" t="inlineStr">
        <is>
          <t>Verifier-agent relationship is modeled, but human and organizational response may remain outside boundary.</t>
        </is>
      </c>
      <c r="Z43" s="2" t="inlineStr">
        <is>
          <t>Verifier detects error -&gt; blocks/corrects action -&gt; improved reliability -&gt; safer deployment</t>
        </is>
      </c>
      <c r="AA43" s="2" t="inlineStr">
        <is>
          <t>https://www.schmidtsciences.org/grantee/arvind-narayanan/</t>
        </is>
      </c>
      <c r="AB43" s="2" t="inlineStr">
        <is>
          <t>https://www.schmidtsciences.org/trustworthy-ai/</t>
        </is>
      </c>
      <c r="AC43" s="2" t="inlineStr">
        <is>
          <t>https://www.schmidtsciences.org/grantee/arvind-narayanan/</t>
        </is>
      </c>
      <c r="AD43" s="2" t="inlineStr">
        <is>
          <t>No</t>
        </is>
      </c>
      <c r="AE43" s="2" t="inlineStr">
        <is>
          <t>Direct funder page</t>
        </is>
      </c>
      <c r="AF43" s="2" t="inlineStr">
        <is>
          <t>Explicit relational control: agent-to-verifier feedback.</t>
        </is>
      </c>
    </row>
    <row r="44">
      <c r="A44" s="2" t="inlineStr">
        <is>
          <t>P43</t>
        </is>
      </c>
      <c r="B44" s="2" t="inlineStr">
        <is>
          <t>Schmidt Sciences</t>
        </is>
      </c>
      <c r="C44" s="2" t="inlineStr">
        <is>
          <t>Science of Trustworthy AI</t>
        </is>
      </c>
      <c r="D44" s="2" t="inlineStr">
        <is>
          <t>2025</t>
        </is>
      </c>
      <c r="E44" s="2" t="inlineStr">
        <is>
          <t>Ziang Xiao / Johns Hopkins University</t>
        </is>
      </c>
      <c r="F44" s="2" t="inlineStr">
        <is>
          <t>Psychometric analysis and toolkit for improved AI benchmarks</t>
        </is>
      </c>
      <c r="G44" s="2" t="inlineStr">
        <is>
          <t>Funded benchmark-science research</t>
        </is>
      </c>
      <c r="H44" s="2" t="inlineStr">
        <is>
          <t>Direct Schmidt Sciences grantee page</t>
        </is>
      </c>
      <c r="I44" s="2" t="inlineStr">
        <is>
          <t>Schmidt Sciences Science of Trustworthy AI program</t>
        </is>
      </c>
      <c r="J44" s="2" t="inlineStr">
        <is>
          <t>Academic human-AI interaction / measurement</t>
        </is>
      </c>
      <c r="K44" s="2" t="inlineStr">
        <is>
          <t>Not established from funder page</t>
        </is>
      </c>
      <c r="L44" s="2" t="inlineStr">
        <is>
          <t>Existing benchmarks may poorly measure intended constructs</t>
        </is>
      </c>
      <c r="M44" s="2" t="inlineStr">
        <is>
          <t>Benchmark validity and measurement quality</t>
        </is>
      </c>
      <c r="N44" s="2" t="inlineStr">
        <is>
          <t>Psychometric analysis + AI-powered benchmark design toolkit</t>
        </is>
      </c>
      <c r="O44" s="2" t="inlineStr">
        <is>
          <t>Prospective funded project</t>
        </is>
      </c>
      <c r="P44" s="2" t="inlineStr">
        <is>
          <t>benchmark/meta-evaluation</t>
        </is>
      </c>
      <c r="Q44" s="2" t="inlineStr">
        <is>
          <t>Existing/new AI benchmarks evaluated as measurement instruments</t>
        </is>
      </c>
      <c r="R44" s="2" t="inlineStr">
        <is>
          <t>Project aims to improve benchmark design through psychometrics and automated tooling.</t>
        </is>
      </c>
      <c r="S44" s="2" t="inlineStr">
        <is>
          <t>Not yet demonstrated in funder description.</t>
        </is>
      </c>
      <c r="T44" s="2" t="inlineStr">
        <is>
          <t>Security impact is indirect through improved measurement quality.</t>
        </is>
      </c>
      <c r="U44" s="2" t="inlineStr">
        <is>
          <t>Pending</t>
        </is>
      </c>
      <c r="V44" s="2" t="inlineStr">
        <is>
          <t>Decision-relevant evaluation validity</t>
        </is>
      </c>
      <c r="W44" s="2" t="inlineStr">
        <is>
          <t>Indirect/prospective</t>
        </is>
      </c>
      <c r="X44" s="2" t="inlineStr">
        <is>
          <t>Low to moderate</t>
        </is>
      </c>
      <c r="Y44" s="2" t="inlineStr">
        <is>
          <t>Meta-evaluation can explicitly model measurement limits, though downstream use still matters.</t>
        </is>
      </c>
      <c r="Z44" s="2" t="inlineStr">
        <is>
          <t>Psychometric diagnosis -&gt; better benchmark -&gt; better inference -&gt; better safety decisions</t>
        </is>
      </c>
      <c r="AA44" s="2" t="inlineStr">
        <is>
          <t>https://www.schmidtsciences.org/grantee/ziang-xiao/</t>
        </is>
      </c>
      <c r="AB44" s="2" t="inlineStr">
        <is>
          <t>https://www.schmidtsciences.org/trustworthy-ai/</t>
        </is>
      </c>
      <c r="AC44" s="2" t="inlineStr">
        <is>
          <t>https://www.schmidtsciences.org/grantee/ziang-xiao/</t>
        </is>
      </c>
      <c r="AD44" s="2" t="inlineStr">
        <is>
          <t>No</t>
        </is>
      </c>
      <c r="AE44" s="2" t="inlineStr">
        <is>
          <t>Direct funder page</t>
        </is>
      </c>
      <c r="AF44" s="2" t="inlineStr">
        <is>
          <t>Directly relevant to our evaluation-science synthesis.</t>
        </is>
      </c>
    </row>
    <row r="45">
      <c r="A45" s="2" t="inlineStr">
        <is>
          <t>P44</t>
        </is>
      </c>
      <c r="B45" s="2" t="inlineStr">
        <is>
          <t>Schmidt Sciences</t>
        </is>
      </c>
      <c r="C45" s="2" t="inlineStr">
        <is>
          <t>Science of Trustworthy AI</t>
        </is>
      </c>
      <c r="D45" s="2" t="inlineStr">
        <is>
          <t>2025</t>
        </is>
      </c>
      <c r="E45" s="2" t="inlineStr">
        <is>
          <t>Nicolas Flammarion / EPFL</t>
        </is>
      </c>
      <c r="F45" s="2" t="inlineStr">
        <is>
          <t>Safety judges for LLM agents with stringent accuracy and robustness protocols</t>
        </is>
      </c>
      <c r="G45" s="2" t="inlineStr">
        <is>
          <t>Funded evaluator/judge research</t>
        </is>
      </c>
      <c r="H45" s="2" t="inlineStr">
        <is>
          <t>Direct Schmidt Sciences grantee page</t>
        </is>
      </c>
      <c r="I45" s="2" t="inlineStr">
        <is>
          <t>Schmidt Sciences Science of Trustworthy AI program</t>
        </is>
      </c>
      <c r="J45" s="2" t="inlineStr">
        <is>
          <t>Academic ML/statistics/robustness</t>
        </is>
      </c>
      <c r="K45" s="2" t="inlineStr">
        <is>
          <t>Not established from funder page</t>
        </is>
      </c>
      <c r="L45" s="2" t="inlineStr">
        <is>
          <t>LLM safety judges may be inaccurate or non-robust</t>
        </is>
      </c>
      <c r="M45" s="2" t="inlineStr">
        <is>
          <t>Evaluator accuracy and robustness for agent safety</t>
        </is>
      </c>
      <c r="N45" s="2" t="inlineStr">
        <is>
          <t>Stringent protocols for evaluating safety judges</t>
        </is>
      </c>
      <c r="O45" s="2" t="inlineStr">
        <is>
          <t>Prospective funded project</t>
        </is>
      </c>
      <c r="P45" s="2" t="inlineStr">
        <is>
          <t>agent+judge</t>
        </is>
      </c>
      <c r="Q45" s="2" t="inlineStr">
        <is>
          <t>LLM agents evaluated by safety-judge models</t>
        </is>
      </c>
      <c r="R45" s="2" t="inlineStr">
        <is>
          <t>Project aims to develop and evaluate safety judges under stringent accuracy/robustness protocols.</t>
        </is>
      </c>
      <c r="S45" s="2" t="inlineStr">
        <is>
          <t>Not yet demonstrated in funder description.</t>
        </is>
      </c>
      <c r="T45" s="2" t="inlineStr">
        <is>
          <t>Even robust judge accuracy may not establish downstream security outcomes.</t>
        </is>
      </c>
      <c r="U45" s="2" t="inlineStr">
        <is>
          <t>Pending</t>
        </is>
      </c>
      <c r="V45" s="2" t="inlineStr">
        <is>
          <t>Reliable agent safety assessment</t>
        </is>
      </c>
      <c r="W45" s="2" t="inlineStr">
        <is>
          <t>Indirect/prospective</t>
        </is>
      </c>
      <c r="X45" s="2" t="inlineStr">
        <is>
          <t>Moderate</t>
        </is>
      </c>
      <c r="Y45" s="2" t="inlineStr">
        <is>
          <t>Judge-agent relation captured; deployment ground truth and context availability may change performance.</t>
        </is>
      </c>
      <c r="Z45" s="2" t="inlineStr">
        <is>
          <t>Robust judge -&gt; more accurate risk detection -&gt; improved intervention/deployment decisions</t>
        </is>
      </c>
      <c r="AA45" s="2" t="inlineStr">
        <is>
          <t>https://www.schmidtsciences.org/grantee/nicolas-flammarion/</t>
        </is>
      </c>
      <c r="AB45" s="2" t="inlineStr">
        <is>
          <t>https://www.schmidtsciences.org/trustworthy-ai/</t>
        </is>
      </c>
      <c r="AC45" s="2" t="inlineStr">
        <is>
          <t>https://www.schmidtsciences.org/grantee/nicolas-flammarion/</t>
        </is>
      </c>
      <c r="AD45" s="2" t="inlineStr">
        <is>
          <t>No</t>
        </is>
      </c>
      <c r="AE45" s="2" t="inlineStr">
        <is>
          <t>Direct funder page</t>
        </is>
      </c>
      <c r="AF45" s="2" t="inlineStr">
        <is>
          <t>Pairs well with PUC result where source context changes judge performance.</t>
        </is>
      </c>
    </row>
    <row r="46">
      <c r="A46" s="2" t="inlineStr">
        <is>
          <t>P45</t>
        </is>
      </c>
      <c r="B46" s="2" t="inlineStr">
        <is>
          <t>Schmidt Sciences</t>
        </is>
      </c>
      <c r="C46" s="2" t="inlineStr">
        <is>
          <t>Science of Trustworthy AI 2026 Research Agenda</t>
        </is>
      </c>
      <c r="D46" s="2" t="inlineStr">
        <is>
          <t>2026</t>
        </is>
      </c>
      <c r="E46" s="2" t="inlineStr">
        <is>
          <t>Program-level / open research community</t>
        </is>
      </c>
      <c r="F46" s="2" t="inlineStr">
        <is>
          <t>Science of Trustworthy AI: Research Agenda</t>
        </is>
      </c>
      <c r="G46" s="2" t="inlineStr">
        <is>
          <t>Research agenda / funding problem framing</t>
        </is>
      </c>
      <c r="H46" s="2" t="inlineStr">
        <is>
          <t>Program-level primary source</t>
        </is>
      </c>
      <c r="I46" s="2" t="inlineStr">
        <is>
          <t>Schmidt Sciences</t>
        </is>
      </c>
      <c r="J46" s="2" t="inlineStr">
        <is>
          <t>Philanthropic funder defining trustworthy-AI research priorities</t>
        </is>
      </c>
      <c r="K46" s="2" t="inlineStr">
        <is>
          <t>Advisory board includes members from academia, OpenAI, Open Philanthropy and AI-safety funding ecosystem; this is governance context, not evidence of compromised research</t>
        </is>
      </c>
      <c r="L46" s="2" t="inlineStr">
        <is>
          <t>Current evaluations may fail under distribution shift, long horizons, tool use, optimization pressure, superhuman capability gaps, and multi-agent interaction</t>
        </is>
      </c>
      <c r="M46" s="2" t="inlineStr">
        <is>
          <t>Decision-relevant trustworthy-AI science</t>
        </is>
      </c>
      <c r="N46" s="2" t="inlineStr">
        <is>
          <t>Funding priorities emphasizing construct/predictive validity, oversight, multi-agent risks</t>
        </is>
      </c>
      <c r="O46" s="2" t="inlineStr">
        <is>
          <t>Program agenda rather than empirical study</t>
        </is>
      </c>
      <c r="P46" s="2" t="inlineStr">
        <is>
          <t>ecosystem/funder</t>
        </is>
      </c>
      <c r="Q46" s="2" t="inlineStr">
        <is>
          <t>Research agenda shapes which scientific questions receive support</t>
        </is>
      </c>
      <c r="R46" s="2" t="inlineStr">
        <is>
          <t>Trustworthy AI requires evaluation science with construct and predictive validity and deployment-like contexts.</t>
        </is>
      </c>
      <c r="S46" s="2" t="inlineStr">
        <is>
          <t>No direct empirical demonstration; this record captures problem framing.</t>
        </is>
      </c>
      <c r="T46" s="2" t="inlineStr">
        <is>
          <t>Not applicable as an empirical claim; relevant to funding-selection mechanisms.</t>
        </is>
      </c>
      <c r="U46" s="2" t="inlineStr">
        <is>
          <t>N/A</t>
        </is>
      </c>
      <c r="V46" s="2" t="inlineStr">
        <is>
          <t>Field-level allocation toward decision-relevant safety science</t>
        </is>
      </c>
      <c r="W46" s="2" t="inlineStr">
        <is>
          <t>Program theory of change</t>
        </is>
      </c>
      <c r="X46" s="2" t="inlineStr">
        <is>
          <t>N/A</t>
        </is>
      </c>
      <c r="Y46" s="2" t="inlineStr">
        <is>
          <t>This is a problem-framing/funding record.</t>
        </is>
      </c>
      <c r="Z46" s="2" t="inlineStr">
        <is>
          <t>Problem framing -&gt; funding priorities -&gt; research portfolio -&gt; evidence base -&gt; safety decisions</t>
        </is>
      </c>
      <c r="AA46" s="2" t="inlineStr">
        <is>
          <t>https://www.schmidtsciences.org/trustworthy-ai-research-agenda/</t>
        </is>
      </c>
      <c r="AB46" s="2" t="inlineStr">
        <is>
          <t>https://www.schmidtsciences.org/trustworthy-ai/</t>
        </is>
      </c>
      <c r="AC46" s="2" t="inlineStr">
        <is>
          <t>https://www.schmidtsciences.org/trustworthy-ai-research-agenda/</t>
        </is>
      </c>
      <c r="AD46" s="2" t="inlineStr">
        <is>
          <t>No</t>
        </is>
      </c>
      <c r="AE46" s="2" t="inlineStr">
        <is>
          <t>Direct funder research agenda</t>
        </is>
      </c>
      <c r="AF46" s="2" t="inlineStr">
        <is>
          <t>Important for analyzing how funder priors propagate into research selection.</t>
        </is>
      </c>
    </row>
    <row r="47">
      <c r="A47" s="2" t="inlineStr">
        <is>
          <t>P46</t>
        </is>
      </c>
      <c r="B47" s="2" t="inlineStr">
        <is>
          <t>Coefficient Giving</t>
        </is>
      </c>
      <c r="C47" s="2" t="inlineStr">
        <is>
          <t>Benchmarking LLM Agents on Consequential Real-World Tasks</t>
        </is>
      </c>
      <c r="D47" s="2" t="n">
        <v>2026</v>
      </c>
      <c r="E47" s="2" t="inlineStr">
        <is>
          <t>Center for Open Science + academic partners</t>
        </is>
      </c>
      <c r="F47" s="2" t="inlineStr">
        <is>
          <t>ReplicatorBench / Benchmarking LLM Agents on Scientific Tasks</t>
        </is>
      </c>
      <c r="G47" s="2" t="inlineStr">
        <is>
          <t>Funded benchmark + infrastructure</t>
        </is>
      </c>
      <c r="H47" s="2" t="inlineStr">
        <is>
          <t>Direct project funding stated by Center for Open Science</t>
        </is>
      </c>
      <c r="I47" s="2" t="inlineStr">
        <is>
          <t>Coefficient Giving + Center for Open Science + Penn State + Old Dominion + Notre Dame</t>
        </is>
      </c>
      <c r="J47" s="2" t="inlineStr">
        <is>
          <t>Coefficient Giving funds work intended to reduce catastrophic risks from advanced AI; this project targets consequential real-world scientific tasks.</t>
        </is>
      </c>
      <c r="K47" s="2" t="inlineStr">
        <is>
          <t>No specific competing interest identified in funder announcement.</t>
        </is>
      </c>
      <c r="L47" s="2" t="inlineStr">
        <is>
          <t>AI agents may acquire increasingly autonomous scientific-research capability.</t>
        </is>
      </c>
      <c r="M47" s="2" t="inlineStr">
        <is>
          <t>Ability of LLM agents to replicate real scientific studies across the research lifecycle.</t>
        </is>
      </c>
      <c r="N47" s="2" t="inlineStr">
        <is>
          <t>Performance on replication tasks derived from real studies with structured ground truth and staged evaluation.</t>
        </is>
      </c>
      <c r="O47" s="2" t="inlineStr">
        <is>
          <t>Benchmark development using real studies and research artifacts; project ongoing.</t>
        </is>
      </c>
      <c r="P47" s="2" t="inlineStr">
        <is>
          <t>agent+research-artifacts</t>
        </is>
      </c>
      <c r="Q47" s="2" t="inlineStr">
        <is>
          <t>LLM agents operate over scientific papers/data/code in replication workflows.</t>
        </is>
      </c>
      <c r="R47" s="2" t="inlineStr">
        <is>
          <t>Real-study replication tasks can provide a more consequential and ecologically grounded evaluation of scientific agents.</t>
        </is>
      </c>
      <c r="S47" s="2" t="inlineStr">
        <is>
          <t>Project has produced a replication benchmark and associated data/infrastructure; broad predictive security relevance is not yet established.</t>
        </is>
      </c>
      <c r="T47" s="2" t="inlineStr">
        <is>
          <t>Moderate-high: stronger ecological grounding than static QA, but downstream security implications remain inferred.</t>
        </is>
      </c>
      <c r="U47" s="2" t="inlineStr">
        <is>
          <t>Real study artifacts and ground truth improve realism; external predictive validation remains open.</t>
        </is>
      </c>
      <c r="V47" s="2" t="inlineStr">
        <is>
          <t>Autonomous AI R&amp;D / scientific acceleration risk</t>
        </is>
      </c>
      <c r="W47" s="2" t="inlineStr">
        <is>
          <t>Indirect: replication capability is relevant to autonomous R&amp;D but not equivalent to harmful security outcomes.</t>
        </is>
      </c>
      <c r="X47" s="2" t="inlineStr">
        <is>
          <t>High</t>
        </is>
      </c>
      <c r="Y47" s="2" t="inlineStr">
        <is>
          <t>Performance depends on available artifacts, tools, execution environment, and evaluator/judge.</t>
        </is>
      </c>
      <c r="Z47" s="2" t="inlineStr">
        <is>
          <t>Autonomous-science concern -&gt; real-study replication construct -&gt; replication benchmark -&gt; observed agent performance -&gt; inference about scientific autonomy -&gt; potential AI safety relevance.</t>
        </is>
      </c>
      <c r="AA47" s="2" t="inlineStr">
        <is>
          <t>https://www.cos.io/blog/benchmarking-llm-agents-on-scientific-tasks-introducing-replicatorbench</t>
        </is>
      </c>
      <c r="AB47" s="2" t="inlineStr">
        <is>
          <t>https://coefficientgiving.org/</t>
        </is>
      </c>
      <c r="AC47" s="2" t="inlineStr">
        <is>
          <t>https://huggingface.co/datasets/domsoos/replicatorbench</t>
        </is>
      </c>
      <c r="AD47" s="2" t="inlineStr">
        <is>
          <t>No</t>
        </is>
      </c>
      <c r="AE47" s="2" t="inlineStr">
        <is>
          <t>Direct project/funder statement</t>
        </is>
      </c>
      <c r="AF47" s="2" t="inlineStr">
        <is>
          <t>Useful counterweight to synthetic benchmark designs.</t>
        </is>
      </c>
    </row>
    <row r="48">
      <c r="A48" s="2" t="inlineStr">
        <is>
          <t>P47</t>
        </is>
      </c>
      <c r="B48" s="2" t="inlineStr">
        <is>
          <t>Coefficient Giving</t>
        </is>
      </c>
      <c r="C48" s="2" t="inlineStr">
        <is>
          <t>Biosecurity &amp; Pandemic Preparedness</t>
        </is>
      </c>
      <c r="D48" s="2" t="n">
        <v>2026</v>
      </c>
      <c r="E48" s="2" t="inlineStr">
        <is>
          <t>Active Site Research</t>
        </is>
      </c>
      <c r="F48" s="2" t="inlineStr">
        <is>
          <t>General support for Active Site</t>
        </is>
      </c>
      <c r="G48" s="2" t="inlineStr">
        <is>
          <t>Organizational grant</t>
        </is>
      </c>
      <c r="H48" s="2" t="inlineStr">
        <is>
          <t>General support reported in 2026 grantee update; not paper-specific</t>
        </is>
      </c>
      <c r="I48" s="2" t="inlineStr">
        <is>
          <t>Coefficient Giving; Active Site also receives project support from FMF/Packard and others</t>
        </is>
      </c>
      <c r="J48" s="2" t="inlineStr">
        <is>
          <t>Coefficient Giving biosecurity program prioritizes catastrophic biological risk, technical safeguards, governance, and AI-bio evaluation.</t>
        </is>
      </c>
      <c r="K48" s="2" t="inlineStr">
        <is>
          <t>General organizational support only; do not infer funding of any specific paper.</t>
        </is>
      </c>
      <c r="L48" s="2" t="inlineStr">
        <is>
          <t>AI may lower barriers to consequential biological experimentation.</t>
        </is>
      </c>
      <c r="M48" s="2" t="inlineStr">
        <is>
          <t>Organization-level capacity to run physical-world AIxBio uplift studies.</t>
        </is>
      </c>
      <c r="N48" s="2" t="inlineStr">
        <is>
          <t>General support; no single empirical proxy.</t>
        </is>
      </c>
      <c r="O48" s="2" t="inlineStr">
        <is>
          <t>Funding relationship, not a research result.</t>
        </is>
      </c>
      <c r="P48" s="2" t="inlineStr">
        <is>
          <t>human+AI / physical</t>
        </is>
      </c>
      <c r="Q48" s="2" t="inlineStr">
        <is>
          <t>Active Site specializes in in-person wet-lab uplift studies and automation evaluations.</t>
        </is>
      </c>
      <c r="R48" s="2" t="inlineStr">
        <is>
          <t>Physical-world studies can clarify how AI changes real biological capability.</t>
        </is>
      </c>
      <c r="S48" s="2" t="inlineStr">
        <is>
          <t>Funding supports the organization; individual studies require separate coding.</t>
        </is>
      </c>
      <c r="T48" s="2" t="inlineStr">
        <is>
          <t>Not applicable at grant level; paper-level attribution must be kept separate.</t>
        </is>
      </c>
      <c r="U48" s="2" t="inlineStr">
        <is>
          <t>N/A</t>
        </is>
      </c>
      <c r="V48" s="2" t="inlineStr">
        <is>
          <t>AI-enabled biological misuse / uplift</t>
        </is>
      </c>
      <c r="W48" s="2" t="inlineStr">
        <is>
          <t>Programmatic.</t>
        </is>
      </c>
      <c r="X48" s="2" t="inlineStr">
        <is>
          <t>High</t>
        </is>
      </c>
      <c r="Y48" s="2" t="inlineStr">
        <is>
          <t>Physical studies explicitly broaden the boundary beyond model-only capability.</t>
        </is>
      </c>
      <c r="Z48" s="2" t="inlineStr">
        <is>
          <t>Catastrophic bio concern -&gt; fund physical-world uplift research -&gt; measure human+AI performance -&gt; inform risk assessment/safeguards.</t>
        </is>
      </c>
      <c r="AA48" s="2" t="inlineStr">
        <is>
          <t>https://activesite.org/</t>
        </is>
      </c>
      <c r="AB48" s="2" t="inlineStr">
        <is>
          <t>https://coefficientgiving.org/funds/biosecurity-pandemic-preparedness/request-for-proposals-biosecurity/</t>
        </is>
      </c>
      <c r="AC48" s="2" t="inlineStr">
        <is>
          <t>https://gcbrupdates.substack.com/p/gcbr-organization-updates-april-2026</t>
        </is>
      </c>
      <c r="AD48" s="2" t="inlineStr">
        <is>
          <t>No</t>
        </is>
      </c>
      <c r="AE48" s="2" t="inlineStr">
        <is>
          <t>Secondary grantee update + funder RFP</t>
        </is>
      </c>
      <c r="AF48" s="2" t="inlineStr">
        <is>
          <t>Keep as organizational-support observation; avoid paper-level attribution.</t>
        </is>
      </c>
    </row>
    <row r="49">
      <c r="A49" s="2" t="inlineStr">
        <is>
          <t>P48</t>
        </is>
      </c>
      <c r="B49" s="2" t="inlineStr">
        <is>
          <t>Frontier Model Forum + Sentinel Bio + Packard Foundation</t>
        </is>
      </c>
      <c r="C49" s="2" t="inlineStr">
        <is>
          <t>AI-bio human uplift / wet-lab study</t>
        </is>
      </c>
      <c r="D49" s="2" t="n">
        <v>2026</v>
      </c>
      <c r="E49" s="2" t="inlineStr">
        <is>
          <t>Active Site Research and collaborators</t>
        </is>
      </c>
      <c r="F49" s="2" t="inlineStr">
        <is>
          <t>Measuring Mid-2025 LLM-Assistance on Novice Performance in Biology</t>
        </is>
      </c>
      <c r="G49" s="2" t="inlineStr">
        <is>
          <t>Project-specific wet-lab randomized trial</t>
        </is>
      </c>
      <c r="H49" s="2" t="inlineStr">
        <is>
          <t>Paper acknowledgement states support from FMF, Sentinel Bio, and Packard Foundation</t>
        </is>
      </c>
      <c r="I49" s="2" t="inlineStr">
        <is>
          <t>FMF + Sentinel Bio + David and Lucile Packard Foundation; operational contributions from multiple partners</t>
        </is>
      </c>
      <c r="J49" s="2" t="inlineStr">
        <is>
          <t>FMF/AISF supports independent frontier-AI safety evaluation; project targets whether in-silico biology capability translates to novice wet-lab uplift.</t>
        </is>
      </c>
      <c r="K49" s="2" t="inlineStr">
        <is>
          <t>Study reports funders/supporters; coding does not infer influence on findings.</t>
        </is>
      </c>
      <c r="L49" s="2" t="inlineStr">
        <is>
          <t>Frontier LLMs may reduce tacit-skill barriers for non-expert biological work.</t>
        </is>
      </c>
      <c r="M49" s="2" t="inlineStr">
        <is>
          <t>Causal effect of LLM access on novice physical-lab performance.</t>
        </is>
      </c>
      <c r="N49" s="2" t="inlineStr">
        <is>
          <t>Pre-registered RCT comparing LLM+internet vs internet-only on a multi-step reverse-genetics-like workflow.</t>
        </is>
      </c>
      <c r="O49" s="2" t="inlineStr">
        <is>
          <t>Investigator-blinded physical wet-lab RCT, n=153.</t>
        </is>
      </c>
      <c r="P49" s="2" t="inlineStr">
        <is>
          <t>human+AI+physical</t>
        </is>
      </c>
      <c r="Q49" s="2" t="inlineStr">
        <is>
          <t>Novices worked in BSL-2 lab with either frontier LLM access plus internet or internet-only resources.</t>
        </is>
      </c>
      <c r="R49" s="2" t="inlineStr">
        <is>
          <t>Mid-2025 LLMs did not substantially increase full workflow completion, though modest intermediate benefits were observed; physical validation is essential.</t>
        </is>
      </c>
      <c r="S49" s="2" t="inlineStr">
        <is>
          <t>No significant primary-endpoint uplift (5.2% vs 6.6%); some intermediate outcomes favored LLM access.</t>
        </is>
      </c>
      <c r="T49" s="2" t="inlineStr">
        <is>
          <t>Low for bounded trial outcome; broader conclusions about future models or malicious actors require inference.</t>
        </is>
      </c>
      <c r="U49" s="2" t="inlineStr">
        <is>
          <t>Strong internal design for this bounded population/workflow; external validity to experts, future models, or deliberate misuse remains limited.</t>
        </is>
      </c>
      <c r="V49" s="2" t="inlineStr">
        <is>
          <t>AI-enabled novice biological uplift</t>
        </is>
      </c>
      <c r="W49" s="2" t="inlineStr">
        <is>
          <t>Directly measures a hypothesized human-uplift pathway but not harmful outcome.</t>
        </is>
      </c>
      <c r="X49" s="2" t="inlineStr">
        <is>
          <t>Very high</t>
        </is>
      </c>
      <c r="Y49" s="2" t="inlineStr">
        <is>
          <t>Result differs materially from in-silico uplift studies when physical execution/tacit skill are included.</t>
        </is>
      </c>
      <c r="Z49" s="2" t="inlineStr">
        <is>
          <t>Benchmark concern -&gt; human uplift hypothesis -&gt; physical RCT -&gt; no significant full-workflow uplift -&gt; risk estimate should incorporate execution barriers.</t>
        </is>
      </c>
      <c r="AA49" s="2" t="inlineStr">
        <is>
          <t>https://arxiv.org/abs/2602.16703</t>
        </is>
      </c>
      <c r="AB49" s="2" t="inlineStr">
        <is>
          <t>https://www.frontiermodelforum.org/ai-safety-fund/</t>
        </is>
      </c>
      <c r="AC49" s="2" t="inlineStr">
        <is>
          <t>https://arxiv.org/pdf/2602.16703</t>
        </is>
      </c>
      <c r="AD49" s="2" t="inlineStr">
        <is>
          <t>No</t>
        </is>
      </c>
      <c r="AE49" s="2" t="inlineStr">
        <is>
          <t>Paper funding acknowledgement + primary preprint</t>
        </is>
      </c>
      <c r="AF49" s="2" t="inlineStr">
        <is>
          <t>Key negative/nuanced result for proxy-to-physical validity.</t>
        </is>
      </c>
    </row>
    <row r="50">
      <c r="A50" s="2" t="inlineStr">
        <is>
          <t>P49</t>
        </is>
      </c>
      <c r="B50" s="2" t="inlineStr">
        <is>
          <t>Coefficient Giving</t>
        </is>
      </c>
      <c r="C50" s="2" t="inlineStr">
        <is>
          <t>2026 Biosecurity RFP</t>
        </is>
      </c>
      <c r="D50" s="2" t="n">
        <v>2026</v>
      </c>
      <c r="E50" s="2" t="inlineStr">
        <is>
          <t>Open call / prospective grantees</t>
        </is>
      </c>
      <c r="F50" s="2" t="inlineStr">
        <is>
          <t>Request for Proposals: Biosecurity</t>
        </is>
      </c>
      <c r="G50" s="2" t="inlineStr">
        <is>
          <t>Funding agenda / problem framing</t>
        </is>
      </c>
      <c r="H50" s="2" t="inlineStr">
        <is>
          <t>Direct funder RFP</t>
        </is>
      </c>
      <c r="I50" s="2" t="inlineStr">
        <is>
          <t>Coefficient Giving Biosecurity &amp; Pandemic Preparedness</t>
        </is>
      </c>
      <c r="J50" s="2" t="inlineStr">
        <is>
          <t>Explicitly prioritizes catastrophic biological risks, AI-bio dangerous-capability evaluations, and safeguards robust to advancing coding capability.</t>
        </is>
      </c>
      <c r="K50" s="2" t="inlineStr">
        <is>
          <t>N/A</t>
        </is>
      </c>
      <c r="L50" s="2" t="inlineStr">
        <is>
          <t>Terrorists, states, or AI agents acquiring powerful biological weapons.</t>
        </is>
      </c>
      <c r="M50" s="2" t="inlineStr">
        <is>
          <t>Decision-relevant dangerous capability and safeguard robustness.</t>
        </is>
      </c>
      <c r="N50" s="2" t="inlineStr">
        <is>
          <t>RFP prioritizes evaluations credible enough to prompt action, safeguard red teaming, open-weight catch-up, and data bottleneck studies.</t>
        </is>
      </c>
      <c r="O50" s="2" t="inlineStr">
        <is>
          <t>Funding-agenda artifact, not empirical research.</t>
        </is>
      </c>
      <c r="P50" s="2" t="inlineStr">
        <is>
          <t>program-level</t>
        </is>
      </c>
      <c r="Q50" s="2" t="inlineStr">
        <is>
          <t>Problem formulation upstream of funded research.</t>
        </is>
      </c>
      <c r="R50" s="2" t="inlineStr">
        <is>
          <t>Evaluation and safeguard work should focus on catastrophic-risk-relevant capabilities and action-triggering evidence.</t>
        </is>
      </c>
      <c r="S50" s="2" t="inlineStr">
        <is>
          <t>Shows funder problem framing and selection priorities; does not demonstrate the underlying threat magnitude.</t>
        </is>
      </c>
      <c r="T50" s="2" t="inlineStr">
        <is>
          <t>High if treated as evidence of threat; low if treated as evidence of funder priorities.</t>
        </is>
      </c>
      <c r="U50" s="2" t="inlineStr">
        <is>
          <t>N/A</t>
        </is>
      </c>
      <c r="V50" s="2" t="inlineStr">
        <is>
          <t>Catastrophic AI-enabled biological risk</t>
        </is>
      </c>
      <c r="W50" s="2" t="inlineStr">
        <is>
          <t>Normative/programmatic.</t>
        </is>
      </c>
      <c r="X50" s="2" t="inlineStr">
        <is>
          <t>High</t>
        </is>
      </c>
      <c r="Y50" s="2" t="inlineStr">
        <is>
          <t>RFP framing shapes which parts of the threat chain receive empirical attention.</t>
        </is>
      </c>
      <c r="Z50" s="2" t="inlineStr">
        <is>
          <t>Threat belief -&gt; RFP priorities -&gt; grant selection -&gt; evaluation/safeguard outputs -&gt; policy/deployment action.</t>
        </is>
      </c>
      <c r="AA50" s="2" t="inlineStr">
        <is>
          <t>https://coefficientgiving.org/funds/biosecurity-pandemic-preparedness/request-for-proposals-biosecurity/</t>
        </is>
      </c>
      <c r="AB50" s="2" t="inlineStr">
        <is>
          <t>https://coefficientgiving.org/funds/biosecurity-pandemic-preparedness/request-for-proposals-biosecurity/</t>
        </is>
      </c>
      <c r="AC50" s="2" t="inlineStr">
        <is>
          <t>https://coefficientgiving.org/funds/biosecurity-pandemic-preparedness/request-for-proposals-biosecurity/</t>
        </is>
      </c>
      <c r="AD50" s="2" t="inlineStr">
        <is>
          <t>No</t>
        </is>
      </c>
      <c r="AE50" s="2" t="inlineStr">
        <is>
          <t>Direct funder source</t>
        </is>
      </c>
      <c r="AF50" s="2" t="inlineStr">
        <is>
          <t>Added because RFPs are themselves observations in the information-flow chain.</t>
        </is>
      </c>
    </row>
    <row r="51">
      <c r="A51" s="2" t="inlineStr">
        <is>
          <t>P50</t>
        </is>
      </c>
      <c r="B51" s="2" t="inlineStr">
        <is>
          <t>Schmidt Sciences + Google DeepMind + ARIA + Cooperative AI Foundation + Google.org</t>
        </is>
      </c>
      <c r="C51" s="2" t="inlineStr">
        <is>
          <t>Scaling AI Safety for a Multi-Agent World</t>
        </is>
      </c>
      <c r="D51" s="2" t="n">
        <v>2026</v>
      </c>
      <c r="E51" s="2" t="inlineStr">
        <is>
          <t>Open call / prospective grantees</t>
        </is>
      </c>
      <c r="F51" s="2" t="inlineStr">
        <is>
          <t>Scaling AI Safety for a Multi-Agent World</t>
        </is>
      </c>
      <c r="G51" s="2" t="inlineStr">
        <is>
          <t>Joint funding agenda / RFP</t>
        </is>
      </c>
      <c r="H51" s="2" t="inlineStr">
        <is>
          <t>Direct joint funding call</t>
        </is>
      </c>
      <c r="I51" s="2" t="inlineStr">
        <is>
          <t>Schmidt Sciences, Google DeepMind, ARIA, Cooperative AI Foundation, Google.org</t>
        </is>
      </c>
      <c r="J51" s="2" t="inlineStr">
        <is>
          <t>System-level multi-agent safety agenda explicitly argues individual-model safety is insufficient.</t>
        </is>
      </c>
      <c r="K51" s="2" t="inlineStr">
        <is>
          <t>Mixed philanthropic/public/private funder network; no specific research result to assess.</t>
        </is>
      </c>
      <c r="L51" s="2" t="inlineStr">
        <is>
          <t>Collective capability, cascading failures, collusion, and unsafe emergent behavior in multi-agent ecosystems.</t>
        </is>
      </c>
      <c r="M51" s="2" t="inlineStr">
        <is>
          <t>System-level safety properties of networks of interacting frontier agents.</t>
        </is>
      </c>
      <c r="N51" s="2" t="inlineStr">
        <is>
          <t>Realistic testbeds, propagation/cascade evaluations, attribution, oversight, and infrastructure stress tests.</t>
        </is>
      </c>
      <c r="O51" s="2" t="inlineStr">
        <is>
          <t>Funding-agenda artifact, not empirical result.</t>
        </is>
      </c>
      <c r="P51" s="2" t="inlineStr">
        <is>
          <t>multi-agent+tools+infrastructure</t>
        </is>
      </c>
      <c r="Q51" s="2" t="inlineStr">
        <is>
          <t>Focus on realistic multi-principal deployment conditions, partial observability, tools, memory, and communication.</t>
        </is>
      </c>
      <c r="R51" s="2" t="inlineStr">
        <is>
          <t>System-level multi-agent risks require realistic testbeds and measures beyond individual-model evaluation.</t>
        </is>
      </c>
      <c r="S51" s="2" t="inlineStr">
        <is>
          <t>Shows funding priorities and theory of change; empirical validity depends on future grantee outputs.</t>
        </is>
      </c>
      <c r="T51" s="2" t="inlineStr">
        <is>
          <t>Prospective: core system-level claim is a research premise rather than a result of this RFP.</t>
        </is>
      </c>
      <c r="U51" s="2" t="inlineStr">
        <is>
          <t>N/A</t>
        </is>
      </c>
      <c r="V51" s="2" t="inlineStr">
        <is>
          <t>Multi-agent systemic AI risk</t>
        </is>
      </c>
      <c r="W51" s="2" t="inlineStr">
        <is>
          <t>Programmatic.</t>
        </is>
      </c>
      <c r="X51" s="2" t="inlineStr">
        <is>
          <t>Very high</t>
        </is>
      </c>
      <c r="Y51" s="2" t="inlineStr">
        <is>
          <t>The RFP is explicitly motivated by risks that emerge only when the system boundary expands to interacting agents/infrastructure.</t>
        </is>
      </c>
      <c r="Z51" s="2" t="inlineStr">
        <is>
          <t>Individual-model limits -&gt; fund system-level testbeds -&gt; observe emergent network behavior -&gt; develop detection/attribution/control -&gt; improve deployment safety.</t>
        </is>
      </c>
      <c r="AA51" s="2" t="inlineStr">
        <is>
          <t>https://www.schmidtsciences.org/multi-agent-ai/</t>
        </is>
      </c>
      <c r="AB51" s="2" t="inlineStr">
        <is>
          <t>https://www.schmidtsciences.org/multi-agent-ai/</t>
        </is>
      </c>
      <c r="AC51" s="2" t="inlineStr">
        <is>
          <t>https://www.schmidtsciences.org/scaling-ai-safety-for-a-multi-agent-world/</t>
        </is>
      </c>
      <c r="AD51" s="2" t="inlineStr">
        <is>
          <t>No</t>
        </is>
      </c>
      <c r="AE51" s="2" t="inlineStr">
        <is>
          <t>Direct funder source</t>
        </is>
      </c>
      <c r="AF51" s="2" t="inlineStr">
        <is>
          <t>Strong comparator for relational/system-level framing.</t>
        </is>
      </c>
    </row>
  </sheetData>
  <autoFilter ref="A1:AF3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D7D31"/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85" customWidth="1" min="3" max="3"/>
  </cols>
  <sheetData>
    <row r="1">
      <c r="A1" s="6" t="inlineStr">
        <is>
          <t>Check</t>
        </is>
      </c>
      <c r="B1" s="6" t="inlineStr">
        <is>
          <t>Result</t>
        </is>
      </c>
      <c r="C1" s="6" t="inlineStr">
        <is>
          <t>Notes</t>
        </is>
      </c>
    </row>
    <row r="2">
      <c r="A2" s="2" t="inlineStr">
        <is>
          <t>Original v1 pilot preserved</t>
        </is>
      </c>
      <c r="B2" s="2" t="inlineStr">
        <is>
          <t>PASS</t>
        </is>
      </c>
      <c r="C2" s="2" t="inlineStr">
        <is>
          <t>Original Set1_Funding_Pilot, Set2_Eval_Pilot and Set3_Trajectory_Pilot retained.</t>
        </is>
      </c>
    </row>
    <row r="3">
      <c r="A3" s="2" t="inlineStr">
        <is>
          <t>Set 1 v1.1 record count</t>
        </is>
      </c>
      <c r="B3" s="2" t="n">
        <v>10</v>
      </c>
      <c r="C3" s="2" t="inlineStr">
        <is>
          <t>Matches v1 pilot.</t>
        </is>
      </c>
    </row>
    <row r="4">
      <c r="A4" s="2" t="inlineStr">
        <is>
          <t>Set 2 v1.1 record count</t>
        </is>
      </c>
      <c r="B4" s="2" t="n">
        <v>11</v>
      </c>
      <c r="C4" s="2" t="inlineStr">
        <is>
          <t>Matches v1 pilot.</t>
        </is>
      </c>
    </row>
    <row r="5">
      <c r="A5" s="2" t="inlineStr">
        <is>
          <t>Set 3 v1.1 record count</t>
        </is>
      </c>
      <c r="B5" s="2" t="n">
        <v>10</v>
      </c>
      <c r="C5" s="2" t="inlineStr">
        <is>
          <t>Matches v1 pilot.</t>
        </is>
      </c>
    </row>
    <row r="6">
      <c r="A6" s="2" t="inlineStr">
        <is>
          <t>E10 structural error</t>
        </is>
      </c>
      <c r="B6" s="2" t="inlineStr">
        <is>
          <t>CORRECTED</t>
        </is>
      </c>
      <c r="C6" s="2" t="inlineStr">
        <is>
          <t>Reconstructed from primary 2026 Frontiers/PMC article.</t>
        </is>
      </c>
    </row>
    <row r="7">
      <c r="A7" s="2" t="inlineStr">
        <is>
          <t>Claim vs demonstration separation</t>
        </is>
      </c>
      <c r="B7" s="2" t="inlineStr">
        <is>
          <t>PASS</t>
        </is>
      </c>
      <c r="C7" s="2" t="inlineStr">
        <is>
          <t>Retained/strengthened in Set 1 and Set 2.</t>
        </is>
      </c>
    </row>
    <row r="8">
      <c r="A8" s="2" t="inlineStr">
        <is>
          <t>Feedback vs learning separation</t>
        </is>
      </c>
      <c r="B8" s="2" t="inlineStr">
        <is>
          <t>PASS</t>
        </is>
      </c>
      <c r="C8" s="2" t="inlineStr">
        <is>
          <t>Set 3 now has four distinct fields plus learning level.</t>
        </is>
      </c>
    </row>
    <row r="9">
      <c r="A9" s="2" t="inlineStr">
        <is>
          <t>Physical involvement vs validation separation</t>
        </is>
      </c>
      <c r="B9" s="2" t="inlineStr">
        <is>
          <t>PASS</t>
        </is>
      </c>
      <c r="C9" s="2" t="inlineStr">
        <is>
          <t>Added to common, Set 2 and Set 3 schemas.</t>
        </is>
      </c>
    </row>
  </sheetData>
  <autoFilter ref="A1:C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7" t="inlineStr">
        <is>
          <t>Version</t>
        </is>
      </c>
      <c r="B1" s="7" t="inlineStr">
        <is>
          <t>v1.3</t>
        </is>
      </c>
    </row>
    <row r="2">
      <c r="A2" s="2" t="inlineStr">
        <is>
          <t>Purpose</t>
        </is>
      </c>
      <c r="B2" s="2" t="inlineStr">
        <is>
          <t>Expand three corpora with deliberate counterexamples and workflow-level/physical-validation cases.</t>
        </is>
      </c>
    </row>
    <row r="3">
      <c r="A3" s="2" t="inlineStr">
        <is>
          <t>New Set 1 records</t>
        </is>
      </c>
      <c r="B3" s="2" t="inlineStr">
        <is>
          <t>15 (P31-P45): Schmidt Sciences projects and 2026 research agenda emphasizing validity, agents, verification, long-horizon and multi-agent safety.</t>
        </is>
      </c>
    </row>
    <row r="4">
      <c r="A4" s="2" t="inlineStr">
        <is>
          <t>New Set 2 records</t>
        </is>
      </c>
      <c r="B4" s="2" t="inlineStr">
        <is>
          <t>12 (E19-E30): BixBench, ClaroAI-Bench, BioXArena, M3A, PromptBio-Bench, single-cell benchmark, Open-Rosalind, autonomy reality-check study, compiler-verified protocols, CRISPR-GPT, Co-Scientist, BioMedAgent.</t>
        </is>
      </c>
    </row>
    <row r="5">
      <c r="A5" s="2" t="inlineStr">
        <is>
          <t>New Set 3 records</t>
        </is>
      </c>
      <c r="B5" s="2" t="inlineStr">
        <is>
          <t>12 (T16-T27): long-horizon failure, reproducibility dependencies, configuration sensitivity, human expertise, difficulty scaling, self-reflection, tool mediation, claim-execution gap, cross-platform protocol fidelity, human-AI wet-lab uplift, physical hypothesis validation, tool-learning memory.</t>
        </is>
      </c>
    </row>
    <row r="6">
      <c r="A6" s="2" t="inlineStr">
        <is>
          <t>Important scope note</t>
        </is>
      </c>
      <c r="B6" s="2" t="inlineStr">
        <is>
          <t>Many new Set 1 records are prospective funded projects rather than completed papers. They are retained because the funding corpus studies what gets funded as well as what gets published.</t>
        </is>
      </c>
    </row>
    <row r="7">
      <c r="A7" s="2" t="inlineStr">
        <is>
          <t>Full-text handling</t>
        </is>
      </c>
      <c r="B7" s="2" t="inlineStr">
        <is>
          <t>Canonical/full-text URLs are captured where public. External PDFs were not reliably downloadable in this runtime; local archive status is explicit and never inferred.</t>
        </is>
      </c>
    </row>
    <row r="8">
      <c r="A8" s="2" t="inlineStr">
        <is>
          <t>Next review trigger</t>
        </is>
      </c>
      <c r="B8" s="2" t="inlineStr">
        <is>
          <t>After ~50 total records per set, reassess coding reliability, missing fields, and harmonized cross-set variables.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70" customWidth="1" min="5" max="5"/>
  </cols>
  <sheetData>
    <row r="1">
      <c r="A1" s="8" t="inlineStr">
        <is>
          <t>Set</t>
        </is>
      </c>
      <c r="B1" s="8" t="inlineStr">
        <is>
          <t>Prior records</t>
        </is>
      </c>
      <c r="C1" s="8" t="inlineStr">
        <is>
          <t>New records</t>
        </is>
      </c>
      <c r="D1" s="8" t="inlineStr">
        <is>
          <t>Total</t>
        </is>
      </c>
      <c r="E1" s="8" t="inlineStr">
        <is>
          <t>Primary expansion emphasis</t>
        </is>
      </c>
    </row>
    <row r="2">
      <c r="A2" s="2" t="inlineStr">
        <is>
          <t>Set 1 Funding</t>
        </is>
      </c>
      <c r="B2" s="2" t="n">
        <v>30</v>
      </c>
      <c r="C2" s="2" t="n">
        <v>15</v>
      </c>
      <c r="D2" s="2" t="n">
        <v>45</v>
      </c>
      <c r="E2" s="2" t="inlineStr">
        <is>
          <t>Expand funding problem frames and evaluation-science portfolio diversity</t>
        </is>
      </c>
    </row>
    <row r="3">
      <c r="A3" s="2" t="inlineStr">
        <is>
          <t>Set 2 Evaluations</t>
        </is>
      </c>
      <c r="B3" s="2" t="n">
        <v>18</v>
      </c>
      <c r="C3" s="2" t="n">
        <v>12</v>
      </c>
      <c r="D3" s="2" t="n">
        <v>30</v>
      </c>
      <c r="E3" s="2" t="inlineStr">
        <is>
          <t>Add end-to-end computational, human-AI, reproducibility, and physical-validation studies</t>
        </is>
      </c>
    </row>
    <row r="4">
      <c r="A4" s="2" t="inlineStr">
        <is>
          <t>Set 3 Trajectories</t>
        </is>
      </c>
      <c r="B4" s="2" t="n">
        <v>15</v>
      </c>
      <c r="C4" s="2" t="n">
        <v>12</v>
      </c>
      <c r="D4" s="2" t="n">
        <v>27</v>
      </c>
      <c r="E4" s="2" t="inlineStr">
        <is>
          <t>Add failure, buffering, context-preservation, human complementarity, and digital-to-physical trajectories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2" t="inlineStr">
        <is>
          <t>Version</t>
        </is>
      </c>
      <c r="B1" s="2" t="inlineStr">
        <is>
          <t>v1.3</t>
        </is>
      </c>
    </row>
    <row r="2">
      <c r="A2" s="2" t="inlineStr">
        <is>
          <t>Date</t>
        </is>
      </c>
      <c r="B2" s="2" t="inlineStr">
        <is>
          <t>2026-09-19</t>
        </is>
      </c>
    </row>
    <row r="3">
      <c r="A3" s="2" t="inlineStr">
        <is>
          <t>Sampling strategy</t>
        </is>
      </c>
      <c r="B3" s="2" t="inlineStr">
        <is>
          <t>Deliberately add cases that could falsify the emerging model-only -&gt; workflow -&gt; physical progression hypothesis, including studies showing autonomy claims fail under execution and studies where human expertise remains essential.</t>
        </is>
      </c>
    </row>
    <row r="4">
      <c r="A4" s="2" t="inlineStr">
        <is>
          <t>Set 1 total</t>
        </is>
      </c>
      <c r="B4" s="2" t="inlineStr">
        <is>
          <t>45</t>
        </is>
      </c>
    </row>
    <row r="5">
      <c r="A5" s="2" t="inlineStr">
        <is>
          <t>Set 2 total</t>
        </is>
      </c>
      <c r="B5" s="2" t="inlineStr">
        <is>
          <t>30</t>
        </is>
      </c>
    </row>
    <row r="6">
      <c r="A6" s="2" t="inlineStr">
        <is>
          <t>Set 3 total</t>
        </is>
      </c>
      <c r="B6" s="2" t="inlineStr">
        <is>
          <t>27</t>
        </is>
      </c>
    </row>
    <row r="7">
      <c r="A7" s="2" t="inlineStr">
        <is>
          <t>Key additions</t>
        </is>
      </c>
      <c r="B7" s="2" t="inlineStr">
        <is>
          <t>Construct/predictive-validity funding priorities; verifier/judge research; multi-agent/long-horizon projects; executable biological workflows; physical validation; claim-execution decoupling.</t>
        </is>
      </c>
    </row>
    <row r="8">
      <c r="A8" s="2" t="inlineStr">
        <is>
          <t>Interpretation guardrail</t>
        </is>
      </c>
      <c r="B8" s="2" t="inlineStr">
        <is>
          <t>No funder affiliation or institutional mission is treated as evidence of bias. Funding/problem framing is coded descriptively for later association analysis.</t>
        </is>
      </c>
    </row>
    <row r="9">
      <c r="A9" s="2" t="inlineStr">
        <is>
          <t>Full text</t>
        </is>
      </c>
      <c r="B9" s="2" t="inlineStr">
        <is>
          <t>Canonical full-text URLs are captured for all new public research artifacts. Local archiving remains limited by runtime download restrictions; source availability is explicitly marked.</t>
        </is>
      </c>
    </row>
    <row r="10">
      <c r="A10" s="2" t="inlineStr">
        <is>
          <t>Next scaling target</t>
        </is>
      </c>
      <c r="B10" s="2" t="inlineStr">
        <is>
          <t>Prioritize independent field observations, incident reports, negative results, and additional physical/human studies before simply adding more static benchmarks.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8" t="inlineStr">
        <is>
          <t>Version</t>
        </is>
      </c>
      <c r="B1" s="8" t="inlineStr">
        <is>
          <t>v1.4</t>
        </is>
      </c>
    </row>
    <row r="2">
      <c r="A2" s="2" t="inlineStr">
        <is>
          <t>Date</t>
        </is>
      </c>
      <c r="B2" s="2" t="inlineStr">
        <is>
          <t>2026-09-19</t>
        </is>
      </c>
    </row>
    <row r="3">
      <c r="A3" s="2" t="inlineStr">
        <is>
          <t>Expansion goal</t>
        </is>
      </c>
      <c r="B3" s="2" t="inlineStr">
        <is>
          <t>Prioritize field incidents, negative/null results, human-in-loop studies, physical validation, and counterexamples before analysis.</t>
        </is>
      </c>
    </row>
    <row r="4">
      <c r="A4" s="2" t="inlineStr">
        <is>
          <t>Set 1 additions</t>
        </is>
      </c>
      <c r="B4" s="2" t="inlineStr">
        <is>
          <t>5 (P46-P50)</t>
        </is>
      </c>
    </row>
    <row r="5">
      <c r="A5" s="2" t="inlineStr">
        <is>
          <t>Set 2 additions</t>
        </is>
      </c>
      <c r="B5" s="2" t="inlineStr">
        <is>
          <t>12 (E31-E42)</t>
        </is>
      </c>
    </row>
    <row r="6">
      <c r="A6" s="2" t="inlineStr">
        <is>
          <t>Set 3 additions</t>
        </is>
      </c>
      <c r="B6" s="2" t="inlineStr">
        <is>
          <t>15 (T28-T42)</t>
        </is>
      </c>
    </row>
    <row r="7">
      <c r="A7" s="2" t="inlineStr">
        <is>
          <t>New totals</t>
        </is>
      </c>
      <c r="B7" s="2" t="inlineStr">
        <is>
          <t>Set 1 = 50; Set 2 = 42; Set 3 = 42</t>
        </is>
      </c>
    </row>
    <row r="8">
      <c r="A8" s="2" t="inlineStr">
        <is>
          <t>Key design principle</t>
        </is>
      </c>
      <c r="B8" s="2" t="inlineStr">
        <is>
          <t>Add cases capable of falsifying a simple model-capability -&gt; real-world-risk story.</t>
        </is>
      </c>
    </row>
    <row r="9">
      <c r="A9" s="2" t="inlineStr">
        <is>
          <t>Important caution</t>
        </is>
      </c>
      <c r="B9" s="2" t="inlineStr">
        <is>
          <t>Set 3 includes two cyber field incidents as comparator/control cases; they are not AI-bio observations and should be stratified in domain-specific analyses.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</cols>
  <sheetData>
    <row r="1">
      <c r="A1" s="8" t="inlineStr">
        <is>
          <t>Theme</t>
        </is>
      </c>
      <c r="B1" s="8" t="inlineStr">
        <is>
          <t>Observation from expanded corpus</t>
        </is>
      </c>
      <c r="C1" s="8" t="inlineStr">
        <is>
          <t>Interpretation / hypothesis to test next</t>
        </is>
      </c>
    </row>
    <row r="2">
      <c r="A2" s="2" t="inlineStr">
        <is>
          <t>1. Boundary sensitivity</t>
        </is>
      </c>
      <c r="B2" s="2" t="inlineStr">
        <is>
          <t>Multiple cases change materially when the boundary expands from model-only to human+AI, tools, or physical execution (e.g., digital uplift vs wet-lab RCT; component success vs RepliBench end-to-end result).</t>
        </is>
      </c>
      <c r="C2" s="2" t="inlineStr">
        <is>
          <t>Treat system boundary as an explanatory variable, not documentation metadata. Test whether larger/more realistic boundaries systematically reduce or redistribute measured capability.</t>
        </is>
      </c>
    </row>
    <row r="3">
      <c r="A3" s="2" t="inlineStr">
        <is>
          <t>2. Proxy-target decoupling</t>
        </is>
      </c>
      <c r="B3" s="2" t="inlineStr">
        <is>
          <t>Raw refusal, short-form benchmarks, and component tasks can move differently from calibrated safety, workflow performance, or end-to-end capability.</t>
        </is>
      </c>
      <c r="C3" s="2" t="inlineStr">
        <is>
          <t>Quantify claim-demonstration distance and whether particular proxy classes are more likely to overstate/understate target constructs.</t>
        </is>
      </c>
    </row>
    <row r="4">
      <c r="A4" s="2" t="inlineStr">
        <is>
          <t>3. Physical validation</t>
        </is>
      </c>
      <c r="B4" s="2" t="inlineStr">
        <is>
          <t>Physical studies can confirm capability (OpenAI wet-lab optimization; X-ray closed loop) or attenuate digital-risk inference (Active Site RCT).</t>
        </is>
      </c>
      <c r="C4" s="2" t="inlineStr">
        <is>
          <t>Physical validation is not inherently conservative or alarming; it is an information-gaining step that can move estimates in either direction.</t>
        </is>
      </c>
    </row>
    <row r="5">
      <c r="A5" s="2" t="inlineStr">
        <is>
          <t>4. Human role is not uniformly protective</t>
        </is>
      </c>
      <c r="B5" s="2" t="inlineStr">
        <is>
          <t>Human-AI composition sometimes buffers errors through review, sometimes underperforms standalone models, and sometimes fails to act on available alerts.</t>
        </is>
      </c>
      <c r="C5" s="2" t="inlineStr">
        <is>
          <t>Replace generic human-in-the-loop coding with role-specific variables: expertise, authority, context access, workload, calibration, and intervention timing.</t>
        </is>
      </c>
    </row>
    <row r="6">
      <c r="A6" s="2" t="inlineStr">
        <is>
          <t>5. Feedback != learning</t>
        </is>
      </c>
      <c r="B6" s="2" t="inlineStr">
        <is>
          <t>Cases show feedback can exist without effective response (Target comparator), while interpretable feedback plus update authority can enable correction (HITL studies, physical closed-loop systems).</t>
        </is>
      </c>
      <c r="C6" s="2" t="inlineStr">
        <is>
          <t>Retain separate fields for feedback availability, interpretability, update capacity, and observed update; test which combinations correlate with recovery.</t>
        </is>
      </c>
    </row>
    <row r="7">
      <c r="A7" s="2" t="inlineStr">
        <is>
          <t>6. Bottlenecks are relational</t>
        </is>
      </c>
      <c r="B7" s="2" t="inlineStr">
        <is>
          <t>KYC, permissions, provenance, task context, expert review, tool harnesses, and physical execution often determine trajectory more than model score alone.</t>
        </is>
      </c>
      <c r="C7" s="2" t="inlineStr">
        <is>
          <t>Map bottlenecks to interfaces and ask whether security-relevant control is concentrated at specific relationship types.</t>
        </is>
      </c>
    </row>
    <row r="8">
      <c r="A8" s="2" t="inlineStr">
        <is>
          <t>7. Funding frames upstream science</t>
        </is>
      </c>
      <c r="B8" s="2" t="inlineStr">
        <is>
          <t>Funder agendas increasingly specify catastrophic risk, action-triggering evaluations, system-level multi-agent testbeds, or predictive validity as desired research objects.</t>
        </is>
      </c>
      <c r="C8" s="2" t="inlineStr">
        <is>
          <t>Analyze whether RFP problem framing predicts the downstream construct/proxy/configuration used in funded work.</t>
        </is>
      </c>
    </row>
    <row r="9">
      <c r="A9" s="2" t="inlineStr">
        <is>
          <t>8. Evidence ecosystem is evolving</t>
        </is>
      </c>
      <c r="B9" s="2" t="inlineStr">
        <is>
          <t>The corpus shows movement from static QA toward agents, human uplift, workflow execution, and physical validation, but predictive linkage to consequential security outcomes remains sparse.</t>
        </is>
      </c>
      <c r="C9" s="2" t="inlineStr">
        <is>
          <t>Do not treat this as a one-way maturity ladder; compare whether newer complex evaluations actually demonstrate better predictive validity.</t>
        </is>
      </c>
    </row>
    <row r="10">
      <c r="A10" s="2" t="inlineStr">
        <is>
          <t>9. Claim-demonstration separation remains essential</t>
        </is>
      </c>
      <c r="B10" s="2" t="inlineStr">
        <is>
          <t>Several papers are cautious internally but can be read more strongly from title/abstract/threat framing than their experiments warrant; other studies explicitly falsify stronger capability claims.</t>
        </is>
      </c>
      <c r="C10" s="2" t="inlineStr">
        <is>
          <t>Develop a reproducible claim-demonstration distance rubric with blinded dual coding before quantitative publication.</t>
        </is>
      </c>
    </row>
    <row r="11">
      <c r="A11" s="2" t="inlineStr">
        <is>
          <t>10. Negative/null studies are highly informative</t>
        </is>
      </c>
      <c r="B11" s="2" t="inlineStr">
        <is>
          <t>Active Site, Anthropic pilot, PaperBench/RepliBench, and autonomous-science failures reveal where capability chains break.</t>
        </is>
      </c>
      <c r="C11" s="2" t="inlineStr">
        <is>
          <t>Deliberately oversample null/negative and failed-translation cases to avoid survivorship bias.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  <col width="60" customWidth="1" min="4" max="4"/>
  </cols>
  <sheetData>
    <row r="1">
      <c r="A1" s="8" t="inlineStr">
        <is>
          <t>ID</t>
        </is>
      </c>
      <c r="B1" s="8" t="inlineStr">
        <is>
          <t>Question</t>
        </is>
      </c>
      <c r="C1" s="8" t="inlineStr">
        <is>
          <t>Candidate outcome</t>
        </is>
      </c>
      <c r="D1" s="8" t="inlineStr">
        <is>
          <t>Candidate predictors / strata</t>
        </is>
      </c>
    </row>
    <row r="2">
      <c r="A2" s="2" t="inlineStr">
        <is>
          <t>Q1</t>
        </is>
      </c>
      <c r="B2" s="2" t="inlineStr">
        <is>
          <t>Does expanding the system boundary change the measured capability or safety conclusion?</t>
        </is>
      </c>
      <c r="C2" s="2" t="inlineStr">
        <is>
          <t>Direction/magnitude of conclusion change</t>
        </is>
      </c>
      <c r="D2" s="2" t="inlineStr">
        <is>
          <t>configuration class; physical involvement; human role; tool access</t>
        </is>
      </c>
    </row>
    <row r="3">
      <c r="A3" s="2" t="inlineStr">
        <is>
          <t>Q2</t>
        </is>
      </c>
      <c r="B3" s="2" t="inlineStr">
        <is>
          <t>Which proxy types have the largest claim-demonstration gaps?</t>
        </is>
      </c>
      <c r="C3" s="2" t="inlineStr">
        <is>
          <t>coded claim-demonstration distance</t>
        </is>
      </c>
      <c r="D3" s="2" t="inlineStr">
        <is>
          <t>static QA; refusal; agent task; uplift; physical execution</t>
        </is>
      </c>
    </row>
    <row r="4">
      <c r="A4" s="2" t="inlineStr">
        <is>
          <t>Q3</t>
        </is>
      </c>
      <c r="B4" s="2" t="inlineStr">
        <is>
          <t>Does physical validation systematically strengthen or weaken upstream capability/risk inferences?</t>
        </is>
      </c>
      <c r="C4" s="2" t="inlineStr">
        <is>
          <t>confirm / attenuate / reverse / unchanged</t>
        </is>
      </c>
      <c r="D4" s="2" t="inlineStr">
        <is>
          <t>type of upstream proxy; workflow stage; participant expertise</t>
        </is>
      </c>
    </row>
    <row r="5">
      <c r="A5" s="2" t="inlineStr">
        <is>
          <t>Q4</t>
        </is>
      </c>
      <c r="B5" s="2" t="inlineStr">
        <is>
          <t>Which relational properties are associated with buffering/recovery after perturbation?</t>
        </is>
      </c>
      <c r="C5" s="2" t="inlineStr">
        <is>
          <t>control effect; recovery; update observed</t>
        </is>
      </c>
      <c r="D5" s="2" t="inlineStr">
        <is>
          <t>context/provenance; feedback interpretability; authority; reversibility; expert oversight</t>
        </is>
      </c>
    </row>
    <row r="6">
      <c r="A6" s="2" t="inlineStr">
        <is>
          <t>Q5</t>
        </is>
      </c>
      <c r="B6" s="2" t="inlineStr">
        <is>
          <t>When human oversight is present, when does it help versus fail?</t>
        </is>
      </c>
      <c r="C6" s="2" t="inlineStr">
        <is>
          <t>corrected/buffered vs no effect/amplified</t>
        </is>
      </c>
      <c r="D6" s="2" t="inlineStr">
        <is>
          <t>expertise; workload; signal context; authority; timing</t>
        </is>
      </c>
    </row>
    <row r="7">
      <c r="A7" s="2" t="inlineStr">
        <is>
          <t>Q6</t>
        </is>
      </c>
      <c r="B7" s="2" t="inlineStr">
        <is>
          <t>Do funding/problem frames predict what gets measured?</t>
        </is>
      </c>
      <c r="C7" s="2" t="inlineStr">
        <is>
          <t>construct/proxy/configuration distribution</t>
        </is>
      </c>
      <c r="D7" s="2" t="inlineStr">
        <is>
          <t>funder/program/RFP framing</t>
        </is>
      </c>
    </row>
    <row r="8">
      <c r="A8" s="2" t="inlineStr">
        <is>
          <t>Q7</t>
        </is>
      </c>
      <c r="B8" s="2" t="inlineStr">
        <is>
          <t>Are newer evaluations more ecologically or predictively valid, or merely more complex?</t>
        </is>
      </c>
      <c r="C8" s="2" t="inlineStr">
        <is>
          <t>ecological/predictive validity assessment</t>
        </is>
      </c>
      <c r="D8" s="2" t="inlineStr">
        <is>
          <t>year; configuration complexity; physical validation</t>
        </is>
      </c>
    </row>
    <row r="9">
      <c r="A9" s="2" t="inlineStr">
        <is>
          <t>Q8</t>
        </is>
      </c>
      <c r="B9" s="2" t="inlineStr">
        <is>
          <t>Do null/negative studies disproportionately appear when the boundary includes execution/physical constraints?</t>
        </is>
      </c>
      <c r="C9" s="2" t="inlineStr">
        <is>
          <t>positive vs null/negative direct result</t>
        </is>
      </c>
      <c r="D9" s="2" t="inlineStr">
        <is>
          <t>digital vs physical; short vs long horizon</t>
        </is>
      </c>
    </row>
    <row r="10">
      <c r="A10" s="2" t="inlineStr">
        <is>
          <t>Q9</t>
        </is>
      </c>
      <c r="B10" s="2" t="inlineStr">
        <is>
          <t>Which links in the theory-of-change chain are most often assumed rather than demonstrated?</t>
        </is>
      </c>
      <c r="C10" s="2" t="inlineStr">
        <is>
          <t>arrow evidence code</t>
        </is>
      </c>
      <c r="D10" s="2" t="inlineStr">
        <is>
          <t>threat-&gt;construct; construct-&gt;proxy; proxy-&gt;capability; capability-&gt;harm; intervention-&gt;risk reduction</t>
        </is>
      </c>
    </row>
    <row r="11">
      <c r="A11" s="2" t="inlineStr">
        <is>
          <t>Q10</t>
        </is>
      </c>
      <c r="B11" s="2" t="inlineStr">
        <is>
          <t>Do field incidents and controlled evaluations implicate the same relational variables?</t>
        </is>
      </c>
      <c r="C11" s="2" t="inlineStr">
        <is>
          <t>overlap in coded variables</t>
        </is>
      </c>
      <c r="D11" s="2" t="inlineStr">
        <is>
          <t>field incident vs benchmark/experiment; domain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75" customWidth="1" min="5" max="5"/>
  </cols>
  <sheetData>
    <row r="1">
      <c r="A1" s="9" t="inlineStr">
        <is>
          <t>Set</t>
        </is>
      </c>
      <c r="B1" s="9" t="inlineStr">
        <is>
          <t>v1.3 records</t>
        </is>
      </c>
      <c r="C1" s="9" t="inlineStr">
        <is>
          <t>New in v1.4</t>
        </is>
      </c>
      <c r="D1" s="9" t="inlineStr">
        <is>
          <t>v1.4 total</t>
        </is>
      </c>
      <c r="E1" s="9" t="inlineStr">
        <is>
          <t>Expansion emphasis</t>
        </is>
      </c>
    </row>
    <row r="2">
      <c r="A2" t="inlineStr">
        <is>
          <t>Set 1</t>
        </is>
      </c>
      <c r="B2" t="n">
        <v>45</v>
      </c>
      <c r="C2" t="n">
        <v>5</v>
      </c>
      <c r="D2" t="n">
        <v>50</v>
      </c>
      <c r="E2" t="inlineStr">
        <is>
          <t>Funding lineage + problem-framing artifacts</t>
        </is>
      </c>
    </row>
    <row r="3">
      <c r="A3" t="inlineStr">
        <is>
          <t>Set 2</t>
        </is>
      </c>
      <c r="B3" t="n">
        <v>30</v>
      </c>
      <c r="C3" t="n">
        <v>12</v>
      </c>
      <c r="D3" t="n">
        <v>42</v>
      </c>
      <c r="E3" t="inlineStr">
        <is>
          <t>Null/negative results, physical validation, human-in-loop, real-task agent evals</t>
        </is>
      </c>
    </row>
    <row r="4">
      <c r="A4" t="inlineStr">
        <is>
          <t>Set 3</t>
        </is>
      </c>
      <c r="B4" t="n">
        <v>27</v>
      </c>
      <c r="C4" t="n">
        <v>15</v>
      </c>
      <c r="D4" t="n">
        <v>42</v>
      </c>
      <c r="E4" t="inlineStr">
        <is>
          <t>Physical trajectories, HITL correction, comparator field incidents, proxy/measurement trajectories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6" t="inlineStr">
        <is>
          <t>Analytical code</t>
        </is>
      </c>
      <c r="B1" s="6" t="inlineStr">
        <is>
          <t>Definition / scale</t>
        </is>
      </c>
    </row>
    <row r="2">
      <c r="A2" s="2" t="inlineStr">
        <is>
          <t>Claim–demonstration distance</t>
        </is>
      </c>
      <c r="B2" s="2" t="inlineStr">
        <is>
          <t>0 = claim is essentially identical to direct demonstration; 1 = small bounded extrapolation; 2 = adjacent workflow/context extrapolation; 3 = system/security-outcome extrapolation not directly demonstrated; 4 = catastrophic/end-state claim with no direct downstream evidence. N/A for prospective funding/program framing.</t>
        </is>
      </c>
    </row>
    <row r="3">
      <c r="A3" s="2" t="inlineStr">
        <is>
          <t>Configuration level</t>
        </is>
      </c>
      <c r="B3" s="2" t="inlineStr">
        <is>
          <t>1 model-only/bounded; 2 agent/tools/composed digital system; 3 human–AI workflow; 4 physical/wet-lab/instrumented system. 0 = program-level/other.</t>
        </is>
      </c>
    </row>
    <row r="4">
      <c r="A4" s="2" t="inlineStr">
        <is>
          <t>Boundary sensitivity</t>
        </is>
      </c>
      <c r="B4" s="2" t="inlineStr">
        <is>
          <t>1 low; 1.5 low-moderate; 2 moderate; 2.5 moderate-high; 3 high; 4 very high. This codes the existing analytical judgment, not an independently validated property.</t>
        </is>
      </c>
    </row>
    <row r="5">
      <c r="A5" s="2" t="inlineStr">
        <is>
          <t>Predictive validity</t>
        </is>
      </c>
      <c r="B5" s="2" t="inlineStr">
        <is>
          <t>0 unknown/not established; 1 low; 1.5 low-moderate; 2 moderate; 3 moderate-high; 4 high.</t>
        </is>
      </c>
    </row>
    <row r="6">
      <c r="A6" s="2" t="inlineStr">
        <is>
          <t>Physical validation</t>
        </is>
      </c>
      <c r="B6" s="2" t="inlineStr">
        <is>
          <t>1 when a physical experiment/instrument/wet-lab result materially tests an upstream digital or workflow claim; 0 otherwise.</t>
        </is>
      </c>
    </row>
    <row r="7">
      <c r="A7" s="2" t="inlineStr">
        <is>
          <t>Feedback chain</t>
        </is>
      </c>
      <c r="B7" s="2" t="inlineStr">
        <is>
          <t>Each stage coded 0 no, 0.5 partial/ambiguous, 1 yes: available → interpretable → update capacity → update observed.</t>
        </is>
      </c>
    </row>
    <row r="8">
      <c r="A8" s="2" t="inlineStr">
        <is>
          <t>Interpretation rule</t>
        </is>
      </c>
      <c r="B8" s="2" t="inlineStr">
        <is>
          <t>All summary statistics are descriptive of the current corpus, not population estimates. Codes are analytical annotations derived from the v1.4 structured observations and should be independently reviewed before publication.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4" customWidth="1" min="3" max="3"/>
    <col width="16" customWidth="1" min="4" max="4"/>
    <col width="30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45" customWidth="1" min="12" max="12"/>
    <col width="55" customWidth="1" min="13" max="13"/>
    <col width="45" customWidth="1" min="14" max="14"/>
    <col width="45" customWidth="1" min="15" max="15"/>
  </cols>
  <sheetData>
    <row r="1">
      <c r="A1" s="6" t="inlineStr">
        <is>
          <t>id</t>
        </is>
      </c>
      <c r="B1" s="6" t="inlineStr">
        <is>
          <t>evaluation</t>
        </is>
      </c>
      <c r="C1" s="6" t="inlineStr">
        <is>
          <t>configuration_class</t>
        </is>
      </c>
      <c r="D1" s="6" t="inlineStr">
        <is>
          <t>configuration_level</t>
        </is>
      </c>
      <c r="E1" s="6" t="inlineStr">
        <is>
          <t>configuration_group</t>
        </is>
      </c>
      <c r="F1" s="6" t="inlineStr">
        <is>
          <t>physical_validation</t>
        </is>
      </c>
      <c r="G1" s="6" t="inlineStr">
        <is>
          <t>claim_distance</t>
        </is>
      </c>
      <c r="H1" s="6" t="inlineStr">
        <is>
          <t>boundary_score</t>
        </is>
      </c>
      <c r="I1" s="6" t="inlineStr">
        <is>
          <t>construct_validity_score</t>
        </is>
      </c>
      <c r="J1" s="6" t="inlineStr">
        <is>
          <t>ecological_validity_score</t>
        </is>
      </c>
      <c r="K1" s="6" t="inlineStr">
        <is>
          <t>predictive_validity_score</t>
        </is>
      </c>
      <c r="L1" s="6" t="inlineStr">
        <is>
          <t>claimed_biosecurity_relevance</t>
        </is>
      </c>
      <c r="M1" s="6" t="inlineStr">
        <is>
          <t>direct_demonstration</t>
        </is>
      </c>
      <c r="N1" s="6" t="inlineStr">
        <is>
          <t>claim_demonstration_gap</t>
        </is>
      </c>
      <c r="O1" s="6" t="inlineStr">
        <is>
          <t>canonical_url</t>
        </is>
      </c>
    </row>
    <row r="2">
      <c r="A2" s="2" t="inlineStr">
        <is>
          <t>E01</t>
        </is>
      </c>
      <c r="B2" s="2" t="inlineStr">
        <is>
          <t>LAB-Bench</t>
        </is>
      </c>
      <c r="C2" s="2" t="inlineStr">
        <is>
          <t>model-only</t>
        </is>
      </c>
      <c r="D2" s="2" t="n">
        <v>1</v>
      </c>
      <c r="E2" s="2" t="inlineStr">
        <is>
          <t>Model-only / bounded</t>
        </is>
      </c>
      <c r="F2" s="2" t="n">
        <v>0</v>
      </c>
      <c r="G2" s="2" t="n">
        <v>2</v>
      </c>
      <c r="H2" s="2" t="n">
        <v>3</v>
      </c>
      <c r="I2" s="2" t="n">
        <v>2</v>
      </c>
      <c r="J2" s="2" t="n">
        <v>1.5</v>
      </c>
      <c r="K2" s="2" t="n">
        <v>0</v>
      </c>
      <c r="L2" s="2" t="inlineStr">
        <is>
          <t>High performance may indicate useful biology research assistance and possible uplift</t>
        </is>
      </c>
      <c r="M2" s="2" t="inlineStr">
        <is>
          <t>Measures performance on 2,400+ practical biology questions</t>
        </is>
      </c>
      <c r="N2" s="2" t="inlineStr">
        <is>
          <t>Direct finding is bounded to the measured endpoint/configuration; broader biosecurity relevance requires additional inference.</t>
        </is>
      </c>
      <c r="O2" s="2" t="inlineStr">
        <is>
          <t>https://arxiv.org/abs/2407.10362</t>
        </is>
      </c>
    </row>
    <row r="3">
      <c r="A3" s="2" t="inlineStr">
        <is>
          <t>E02</t>
        </is>
      </c>
      <c r="B3" s="2" t="inlineStr">
        <is>
          <t>Virology Capabilities Test (VCT)</t>
        </is>
      </c>
      <c r="C3" s="2" t="inlineStr">
        <is>
          <t>model-only</t>
        </is>
      </c>
      <c r="D3" s="2" t="n">
        <v>1</v>
      </c>
      <c r="E3" s="2" t="inlineStr">
        <is>
          <t>Model-only / bounded</t>
        </is>
      </c>
      <c r="F3" s="2" t="n">
        <v>0</v>
      </c>
      <c r="G3" s="2" t="n">
        <v>2</v>
      </c>
      <c r="H3" s="2" t="n">
        <v>3</v>
      </c>
      <c r="I3" s="2" t="n">
        <v>3</v>
      </c>
      <c r="J3" s="2" t="n">
        <v>1.5</v>
      </c>
      <c r="K3" s="2" t="n">
        <v>0</v>
      </c>
      <c r="L3" s="2" t="inlineStr">
        <is>
          <t>Benchmark performance is treated as evidence relevant to model bio-risk assessment</t>
        </is>
      </c>
      <c r="M3" s="2" t="inlineStr">
        <is>
          <t>Leading models can exceed average expert performance on benchmark questions</t>
        </is>
      </c>
      <c r="N3" s="2" t="inlineStr">
        <is>
          <t>Direct finding is bounded to the measured endpoint/configuration; broader biosecurity relevance requires additional inference.</t>
        </is>
      </c>
      <c r="O3" s="2" t="inlineStr">
        <is>
          <t>https://arxiv.org/abs/2504.16137</t>
        </is>
      </c>
    </row>
    <row r="4">
      <c r="A4" s="2" t="inlineStr">
        <is>
          <t>E03</t>
        </is>
      </c>
      <c r="B4" s="2" t="inlineStr">
        <is>
          <t>ABC-Bench</t>
        </is>
      </c>
      <c r="C4" s="2" t="inlineStr">
        <is>
          <t>physical</t>
        </is>
      </c>
      <c r="D4" s="2" t="n">
        <v>4</v>
      </c>
      <c r="E4" s="2" t="inlineStr">
        <is>
          <t>Physical / wet-lab / instrumented</t>
        </is>
      </c>
      <c r="F4" s="2" t="n">
        <v>0</v>
      </c>
      <c r="G4" s="2" t="n">
        <v>2</v>
      </c>
      <c r="H4" s="2" t="n">
        <v>2</v>
      </c>
      <c r="I4" s="2" t="n">
        <v>4</v>
      </c>
      <c r="J4" s="2" t="n">
        <v>3</v>
      </c>
      <c r="K4" s="2" t="n">
        <v>0</v>
      </c>
      <c r="L4" s="2" t="inlineStr">
        <is>
          <t>More direct evidence of agentic workflow capability than QA benchmarks</t>
        </is>
      </c>
      <c r="M4" s="2" t="inlineStr">
        <is>
          <t>Agents outperform median expert baseliners on three tasks; selected scripts executed successfully on OpenTrons and assembled expected DNA</t>
        </is>
      </c>
      <c r="N4" s="2" t="inlineStr">
        <is>
          <t>Direct finding is bounded to the measured endpoint/configuration; broader biosecurity relevance requires additional inference.</t>
        </is>
      </c>
      <c r="O4" s="2" t="inlineStr">
        <is>
          <t>https://arxiv.org/abs/2606.11150</t>
        </is>
      </c>
    </row>
    <row r="5">
      <c r="A5" s="2" t="inlineStr">
        <is>
          <t>E04</t>
        </is>
      </c>
      <c r="B5" s="2" t="inlineStr">
        <is>
          <t>BioDesignBench</t>
        </is>
      </c>
      <c r="C5" s="2" t="inlineStr">
        <is>
          <t>agentic</t>
        </is>
      </c>
      <c r="D5" s="2" t="n">
        <v>2</v>
      </c>
      <c r="E5" s="2" t="inlineStr">
        <is>
          <t>Agent / tools / composed digital</t>
        </is>
      </c>
      <c r="F5" s="2" t="n">
        <v>0</v>
      </c>
      <c r="G5" s="2" t="n">
        <v>2</v>
      </c>
      <c r="H5" s="2" t="n">
        <v>2</v>
      </c>
      <c r="I5" s="2" t="n">
        <v>4</v>
      </c>
      <c r="J5" s="2" t="n">
        <v>2</v>
      </c>
      <c r="K5" s="2" t="n">
        <v>0</v>
      </c>
      <c r="L5" s="2" t="inlineStr">
        <is>
          <t>Shows behavior at agent-tool relationships matters, not only tool access</t>
        </is>
      </c>
      <c r="M5" s="2" t="inlineStr">
        <is>
          <t>Strongest agents beat deterministic pipelines but underperform experts; forced-depth evaluation improves performance</t>
        </is>
      </c>
      <c r="N5" s="2" t="inlineStr">
        <is>
          <t>Direct finding is bounded to the measured endpoint/configuration; broader biosecurity relevance requires additional inference.</t>
        </is>
      </c>
      <c r="O5" s="2" t="inlineStr">
        <is>
          <t>https://pmc.ncbi.nlm.nih.gov/articles/PMC13174699/</t>
        </is>
      </c>
    </row>
    <row r="6">
      <c r="A6" s="2" t="inlineStr">
        <is>
          <t>E05</t>
        </is>
      </c>
      <c r="B6" s="2" t="inlineStr">
        <is>
          <t>AIPD TEVV with safe biological proxies</t>
        </is>
      </c>
      <c r="C6" s="2" t="inlineStr">
        <is>
          <t>physical</t>
        </is>
      </c>
      <c r="D6" s="2" t="n">
        <v>4</v>
      </c>
      <c r="E6" s="2" t="inlineStr">
        <is>
          <t>Physical / wet-lab / instrumented</t>
        </is>
      </c>
      <c r="F6" s="2" t="n">
        <v>0</v>
      </c>
      <c r="G6" s="2" t="n">
        <v>2</v>
      </c>
      <c r="H6" s="2" t="n">
        <v>2</v>
      </c>
      <c r="I6" s="2" t="n">
        <v>4</v>
      </c>
      <c r="J6" s="2" t="n">
        <v>4</v>
      </c>
      <c r="K6" s="2" t="n">
        <v>2</v>
      </c>
      <c r="L6" s="2" t="inlineStr">
        <is>
          <t>Directly tests a previously in-silico risk claim and finds important physical constraint</t>
        </is>
      </c>
      <c r="M6" s="2" t="inlineStr">
        <is>
          <t>Current systems can generate structurally similar homologs but do not reliably retain activity while evading screening</t>
        </is>
      </c>
      <c r="N6" s="2" t="inlineStr">
        <is>
          <t>Direct finding is bounded to the measured endpoint/configuration; broader biosecurity relevance requires additional inference.</t>
        </is>
      </c>
      <c r="O6" s="2" t="inlineStr">
        <is>
          <t>https://www.nist.gov/publications/experimental-evaluation-ai-driven-protein-design-risks-using-safe-biological-proxies</t>
        </is>
      </c>
    </row>
    <row r="7">
      <c r="A7" s="2" t="inlineStr">
        <is>
          <t>E06</t>
        </is>
      </c>
      <c r="B7" s="2" t="inlineStr">
        <is>
          <t>LANL skill-based uplift wet-lab pilot</t>
        </is>
      </c>
      <c r="C7" s="2" t="inlineStr">
        <is>
          <t>human+AI</t>
        </is>
      </c>
      <c r="D7" s="2" t="n">
        <v>3</v>
      </c>
      <c r="E7" s="2" t="inlineStr">
        <is>
          <t>Human–AI workflow</t>
        </is>
      </c>
      <c r="F7" s="2" t="n">
        <v>0</v>
      </c>
      <c r="G7" s="2" t="n">
        <v>2</v>
      </c>
      <c r="H7" s="2" t="n">
        <v>2</v>
      </c>
      <c r="I7" s="2" t="n">
        <v>4</v>
      </c>
      <c r="J7" s="2" t="n">
        <v>4</v>
      </c>
      <c r="K7" s="2" t="n">
        <v>1</v>
      </c>
      <c r="L7" s="2" t="inlineStr">
        <is>
          <t>Directly observes human-AI use in a real lab and exposes design/measurement challenges</t>
        </is>
      </c>
      <c r="M7" s="2" t="inlineStr">
        <is>
          <t>Pilot did not provide statistically significant evidence of AI uplift; all participants performed relatively well</t>
        </is>
      </c>
      <c r="N7" s="2" t="inlineStr">
        <is>
          <t>Direct finding is bounded to the measured endpoint/configuration; broader biosecurity relevance requires additional inference.</t>
        </is>
      </c>
      <c r="O7" s="2" t="inlineStr">
        <is>
          <t>https://arxiv.org/abs/2512.10960</t>
        </is>
      </c>
    </row>
    <row r="8">
      <c r="A8" s="2" t="inlineStr">
        <is>
          <t>E07</t>
        </is>
      </c>
      <c r="B8" s="2" t="inlineStr">
        <is>
          <t>RefusalBench</t>
        </is>
      </c>
      <c r="C8" s="2" t="inlineStr">
        <is>
          <t>model-only</t>
        </is>
      </c>
      <c r="D8" s="2" t="n">
        <v>1</v>
      </c>
      <c r="E8" s="2" t="inlineStr">
        <is>
          <t>Model-only / bounded</t>
        </is>
      </c>
      <c r="F8" s="2" t="n">
        <v>0</v>
      </c>
      <c r="G8" s="2" t="n">
        <v>2</v>
      </c>
      <c r="H8" s="2" t="n">
        <v>3</v>
      </c>
      <c r="I8" s="2" t="n">
        <v>4</v>
      </c>
      <c r="J8" s="2" t="n">
        <v>1.5</v>
      </c>
      <c r="K8" s="2" t="n">
        <v>0</v>
      </c>
      <c r="L8" s="2" t="inlineStr">
        <is>
          <t>Demonstrates proxy-target decoupling within refusal evaluation</t>
        </is>
      </c>
      <c r="M8" s="2" t="inlineStr">
        <is>
          <t>Overall refusal rate can misrank tier discrimination; hedge-but-help behavior escapes binary refusal metrics</t>
        </is>
      </c>
      <c r="N8" s="2" t="inlineStr">
        <is>
          <t>Direct finding is bounded to the measured endpoint/configuration; broader biosecurity relevance requires additional inference.</t>
        </is>
      </c>
      <c r="O8" s="2" t="inlineStr">
        <is>
          <t>https://arxiv.org/abs/2605.21545</t>
        </is>
      </c>
    </row>
    <row r="9">
      <c r="A9" s="2" t="inlineStr">
        <is>
          <t>E08</t>
        </is>
      </c>
      <c r="B9" s="2" t="inlineStr">
        <is>
          <t>BioTIER</t>
        </is>
      </c>
      <c r="C9" s="2" t="inlineStr">
        <is>
          <t>model-only</t>
        </is>
      </c>
      <c r="D9" s="2" t="n">
        <v>1</v>
      </c>
      <c r="E9" s="2" t="inlineStr">
        <is>
          <t>Model-only / bounded</t>
        </is>
      </c>
      <c r="F9" s="2" t="n">
        <v>0</v>
      </c>
      <c r="G9" s="2" t="n">
        <v>2</v>
      </c>
      <c r="H9" s="2" t="n">
        <v>3</v>
      </c>
      <c r="I9" s="2" t="n">
        <v>3</v>
      </c>
      <c r="J9" s="2" t="n">
        <v>1</v>
      </c>
      <c r="K9" s="2" t="n">
        <v>0</v>
      </c>
      <c r="L9" s="2" t="inlineStr">
        <is>
          <t>Directly measures policy-aligned response behavior; not downstream misuse prevention</t>
        </is>
      </c>
      <c r="M9" s="2" t="inlineStr">
        <is>
          <t>Measures whether models refuse designated high-risk/dual-use content while permitting benign biology</t>
        </is>
      </c>
      <c r="N9" s="2" t="inlineStr">
        <is>
          <t>Direct finding is bounded to the measured endpoint/configuration; broader biosecurity relevance requires additional inference.</t>
        </is>
      </c>
      <c r="O9" s="2" t="inlineStr">
        <is>
          <t>https://arxiv.org/abs/2607.14479</t>
        </is>
      </c>
    </row>
    <row r="10">
      <c r="A10" s="2" t="inlineStr">
        <is>
          <t>E09</t>
        </is>
      </c>
      <c r="B10" s="2" t="inlineStr">
        <is>
          <t>Bacterial Biothreat Benchmark (B3) / BBG implementation</t>
        </is>
      </c>
      <c r="C10" s="2" t="inlineStr">
        <is>
          <t>model-only</t>
        </is>
      </c>
      <c r="D10" s="2" t="n">
        <v>1</v>
      </c>
      <c r="E10" s="2" t="inlineStr">
        <is>
          <t>Model-only / bounded</t>
        </is>
      </c>
      <c r="F10" s="2" t="n">
        <v>0</v>
      </c>
      <c r="G10" s="2" t="n">
        <v>2</v>
      </c>
      <c r="H10" s="2" t="n">
        <v>3</v>
      </c>
      <c r="I10" s="2" t="n">
        <v>2</v>
      </c>
      <c r="J10" s="2" t="n">
        <v>1.5</v>
      </c>
      <c r="K10" s="2" t="n">
        <v>0</v>
      </c>
      <c r="L10" s="2" t="inlineStr">
        <is>
          <t>Measures model responses to threat-chain-aligned prompts; does not execute threat chain</t>
        </is>
      </c>
      <c r="M10" s="2" t="inlineStr">
        <is>
          <t>Pilot claims framework enables nuanced assessment and identifies sources of risk/mitigation priority</t>
        </is>
      </c>
      <c r="N10" s="2" t="inlineStr">
        <is>
          <t>Direct finding is bounded to the measured endpoint/configuration; broader biosecurity relevance requires additional inference.</t>
        </is>
      </c>
      <c r="O10" s="2" t="inlineStr">
        <is>
          <t>https://arxiv.org/abs/2512.08459</t>
        </is>
      </c>
    </row>
    <row r="11">
      <c r="A11" s="2" t="inlineStr">
        <is>
          <t>E10</t>
        </is>
      </c>
      <c r="B11" s="2" t="inlineStr">
        <is>
          <t>Sequence-based biosecurity screening resilience study</t>
        </is>
      </c>
      <c r="C11" s="2" t="inlineStr">
        <is>
          <t>model+tools</t>
        </is>
      </c>
      <c r="D11" s="2" t="n">
        <v>2</v>
      </c>
      <c r="E11" s="2" t="inlineStr">
        <is>
          <t>Agent / tools / composed digital</t>
        </is>
      </c>
      <c r="F11" s="2" t="n">
        <v>0</v>
      </c>
      <c r="G11" s="2" t="n">
        <v>2</v>
      </c>
      <c r="H11" s="2" t="n">
        <v>3</v>
      </c>
      <c r="I11" s="2" t="n">
        <v>4</v>
      </c>
      <c r="J11" s="2" t="n">
        <v>3</v>
      </c>
      <c r="K11" s="2" t="n">
        <v>0</v>
      </c>
      <c r="L11" s="2" t="inlineStr">
        <is>
          <t>Patched sequence-based screening is effective against tested current AIPD-derived sequences, while alternate/context-aware approaches remain important as AIPD capabilities advance.</t>
        </is>
      </c>
      <c r="M11" s="2" t="inlineStr">
        <is>
          <t>Two tested tools robustly detected fragments down to about 50 nt without further modification; upgraded versions of the other two improved performance on the tested synthetic homolog fragments.</t>
        </is>
      </c>
      <c r="N11" s="2" t="inlineStr">
        <is>
          <t>Direct finding supports current screening robustness for tested variants; claims about future AIPD threats and alternate screening needs are forward-looking.</t>
        </is>
      </c>
      <c r="O11" s="2" t="inlineStr">
        <is>
          <t>https://pmc.ncbi.nlm.nih.gov/articles/PMC13402867/</t>
        </is>
      </c>
    </row>
    <row r="12">
      <c r="A12" s="2" t="inlineStr">
        <is>
          <t>E11</t>
        </is>
      </c>
      <c r="B12" s="2" t="inlineStr">
        <is>
          <t>OpenAI / Red Queen Bio wet-lab optimization evaluation</t>
        </is>
      </c>
      <c r="C12" s="2" t="inlineStr">
        <is>
          <t>model-only</t>
        </is>
      </c>
      <c r="D12" s="2" t="n">
        <v>1</v>
      </c>
      <c r="E12" s="2" t="inlineStr">
        <is>
          <t>Model-only / bounded</t>
        </is>
      </c>
      <c r="F12" s="2" t="n">
        <v>0</v>
      </c>
      <c r="G12" s="2" t="n">
        <v>2</v>
      </c>
      <c r="H12" s="2" t="n">
        <v>2</v>
      </c>
      <c r="I12" s="2" t="n">
        <v>3</v>
      </c>
      <c r="J12" s="2" t="n">
        <v>4</v>
      </c>
      <c r="K12" s="2" t="n">
        <v>0</v>
      </c>
      <c r="L12" s="2" t="inlineStr">
        <is>
          <t>Demonstrates closed-loop AI-guided wet-lab optimization in a benign system</t>
        </is>
      </c>
      <c r="M12" s="2" t="inlineStr">
        <is>
          <t>GPT-5 proposed modifications leading to reported 79x efficiency improvement; robot reproduced relative ranking with lower absolute yields</t>
        </is>
      </c>
      <c r="N12" s="2" t="inlineStr">
        <is>
          <t>Direct finding is bounded to the measured endpoint/configuration; broader biosecurity relevance requires additional inference.</t>
        </is>
      </c>
      <c r="O12" s="2" t="inlineStr">
        <is>
          <t>https://openai.com/index/accelerating-biological-research-in-the-wet-lab/</t>
        </is>
      </c>
    </row>
    <row r="13">
      <c r="A13" s="2" t="inlineStr">
        <is>
          <t>E12</t>
        </is>
      </c>
      <c r="B13" s="2" t="inlineStr">
        <is>
          <t>BioAgent Bench</t>
        </is>
      </c>
      <c r="C13" s="2" t="inlineStr">
        <is>
          <t>agent+tools</t>
        </is>
      </c>
      <c r="D13" s="2" t="n">
        <v>2</v>
      </c>
      <c r="E13" s="2" t="inlineStr">
        <is>
          <t>Agent / tools / composed digital</t>
        </is>
      </c>
      <c r="F13" s="2" t="n">
        <v>0</v>
      </c>
      <c r="G13" s="2" t="n">
        <v>2</v>
      </c>
      <c r="H13" s="2" t="n">
        <v>3</v>
      </c>
      <c r="I13" s="2" t="n">
        <v>3</v>
      </c>
      <c r="J13" s="2" t="n">
        <v>2</v>
      </c>
      <c r="K13" s="2" t="n">
        <v>0</v>
      </c>
      <c r="L13" s="2" t="inlineStr">
        <is>
          <t>Indirect: reliability/privacy of AI agents operating on sensitive biological data and workflows</t>
        </is>
      </c>
      <c r="M13" s="2" t="inlineStr">
        <is>
          <t>Frontier agents complete many pipelines, but robustness drops under perturbations and correct high-level workflow construction does not guarantee reliable step-level reasoning.</t>
        </is>
      </c>
      <c r="N13" s="2" t="inlineStr">
        <is>
          <t>Moderate</t>
        </is>
      </c>
      <c r="O13" s="2" t="inlineStr">
        <is>
          <t>https://arxiv.org/abs/2601.21800</t>
        </is>
      </c>
    </row>
    <row r="14">
      <c r="A14" s="2" t="inlineStr">
        <is>
          <t>E13</t>
        </is>
      </c>
      <c r="B14" s="2" t="inlineStr">
        <is>
          <t>BioSecBench-Surveillance</t>
        </is>
      </c>
      <c r="C14" s="2" t="inlineStr">
        <is>
          <t>agent+tools</t>
        </is>
      </c>
      <c r="D14" s="2" t="n">
        <v>2</v>
      </c>
      <c r="E14" s="2" t="inlineStr">
        <is>
          <t>Agent / tools / composed digital</t>
        </is>
      </c>
      <c r="F14" s="2" t="n">
        <v>0</v>
      </c>
      <c r="G14" s="2" t="n">
        <v>1.5</v>
      </c>
      <c r="H14" s="2" t="n">
        <v>3</v>
      </c>
      <c r="I14" s="2" t="n">
        <v>4</v>
      </c>
      <c r="J14" s="2" t="n">
        <v>3</v>
      </c>
      <c r="K14" s="2" t="n">
        <v>0</v>
      </c>
      <c r="L14" s="2" t="inlineStr">
        <is>
          <t>Readiness/trustworthiness of AI agents for pathogen genomic surveillance</t>
        </is>
      </c>
      <c r="M14" s="2" t="inlineStr">
        <is>
          <t>Strongest configurations pass about half of evaluations; errors often arise from references, thresholds, filters and normalization even when agents select the right high-level workflow.</t>
        </is>
      </c>
      <c r="N14" s="2" t="inlineStr">
        <is>
          <t>Low-moderate</t>
        </is>
      </c>
      <c r="O14" s="2" t="inlineStr">
        <is>
          <t>https://arxiv.org/abs/2607.19262</t>
        </is>
      </c>
    </row>
    <row r="15">
      <c r="A15" s="2" t="inlineStr">
        <is>
          <t>E14</t>
        </is>
      </c>
      <c r="B15" s="2" t="inlineStr">
        <is>
          <t>BiomniBench</t>
        </is>
      </c>
      <c r="C15" s="2" t="inlineStr">
        <is>
          <t>agent+harness</t>
        </is>
      </c>
      <c r="D15" s="2" t="n">
        <v>2</v>
      </c>
      <c r="E15" s="2" t="inlineStr">
        <is>
          <t>Agent / tools / composed digital</t>
        </is>
      </c>
      <c r="F15" s="2" t="n">
        <v>0</v>
      </c>
      <c r="G15" s="2" t="n">
        <v>1</v>
      </c>
      <c r="H15" s="2" t="n">
        <v>4</v>
      </c>
      <c r="I15" s="2" t="n">
        <v>4</v>
      </c>
      <c r="J15" s="2" t="n">
        <v>3</v>
      </c>
      <c r="K15" s="2" t="n">
        <v>0</v>
      </c>
      <c r="L15" s="2" t="inlineStr">
        <is>
          <t>Primarily biomedical-research reliability; relevant to AI-bio capability measurement and configuration sensitivity</t>
        </is>
      </c>
      <c r="M15" s="2" t="inlineStr">
        <is>
          <t>Agent harness shifts scores by more than the gap between successive model generations; agents ground sources but fall short on method selection, interpretation and reasoning.</t>
        </is>
      </c>
      <c r="N15" s="2" t="inlineStr">
        <is>
          <t>Low for harness/configuration claim, higher for downstream security relevance</t>
        </is>
      </c>
      <c r="O15" s="2" t="inlineStr">
        <is>
          <t>https://www.biorxiv.org/content/10.64898/2026.05.12.724604v2</t>
        </is>
      </c>
    </row>
    <row r="16">
      <c r="A16" s="2" t="inlineStr">
        <is>
          <t>E15</t>
        </is>
      </c>
      <c r="B16" s="2" t="inlineStr">
        <is>
          <t>BioML-bench</t>
        </is>
      </c>
      <c r="C16" s="2" t="inlineStr">
        <is>
          <t>agent+tools</t>
        </is>
      </c>
      <c r="D16" s="2" t="n">
        <v>2</v>
      </c>
      <c r="E16" s="2" t="inlineStr">
        <is>
          <t>Agent / tools / composed digital</t>
        </is>
      </c>
      <c r="F16" s="2" t="n">
        <v>0</v>
      </c>
      <c r="G16" s="2" t="n">
        <v>2</v>
      </c>
      <c r="H16" s="2" t="n">
        <v>3</v>
      </c>
      <c r="I16" s="2" t="n">
        <v>3</v>
      </c>
      <c r="J16" s="2" t="n">
        <v>2</v>
      </c>
      <c r="K16" s="2" t="n">
        <v>0</v>
      </c>
      <c r="L16" s="2" t="inlineStr">
        <is>
          <t>Primarily biomedical R&amp;D capability; useful for mapping AI-bio capability beyond QA</t>
        </is>
      </c>
      <c r="M16" s="2" t="inlineStr">
        <is>
          <t>Benchmark introduced to fill gap between QA/narrow tasks and multi-step biomedical ML workflows.</t>
        </is>
      </c>
      <c r="N16" s="2" t="inlineStr">
        <is>
          <t>Moderate</t>
        </is>
      </c>
      <c r="O16" s="2" t="inlineStr">
        <is>
          <t>https://www.biorxiv.org/content/10.1101/2025.09.01.673319v3</t>
        </is>
      </c>
    </row>
    <row r="17">
      <c r="A17" s="2" t="inlineStr">
        <is>
          <t>E16</t>
        </is>
      </c>
      <c r="B17" s="2" t="inlineStr">
        <is>
          <t>GeneBench / GeneBench-Pro</t>
        </is>
      </c>
      <c r="C17" s="2" t="inlineStr">
        <is>
          <t>agent</t>
        </is>
      </c>
      <c r="D17" s="2" t="n">
        <v>2</v>
      </c>
      <c r="E17" s="2" t="inlineStr">
        <is>
          <t>Agent / tools / composed digital</t>
        </is>
      </c>
      <c r="F17" s="2" t="n">
        <v>0</v>
      </c>
      <c r="G17" s="2" t="n">
        <v>2</v>
      </c>
      <c r="H17" s="2" t="n">
        <v>3</v>
      </c>
      <c r="I17" s="2" t="n">
        <v>3</v>
      </c>
      <c r="J17" s="2" t="n">
        <v>2</v>
      </c>
      <c r="K17" s="2" t="n">
        <v>0</v>
      </c>
      <c r="L17" s="2" t="inlineStr">
        <is>
          <t>General AI-bio scientific capability, not specifically biosecurity</t>
        </is>
      </c>
      <c r="M17" s="2" t="inlineStr">
        <is>
          <t>Introduces harder multi-stage tasks; authors characterize capability as emerging but unreliable.</t>
        </is>
      </c>
      <c r="N17" s="2" t="inlineStr">
        <is>
          <t>Moderate</t>
        </is>
      </c>
      <c r="O17" s="2" t="inlineStr">
        <is>
          <t>https://www.biorxiv.org/content/10.64898/2026.04.22.720113v1</t>
        </is>
      </c>
    </row>
    <row r="18">
      <c r="A18" s="2" t="inlineStr">
        <is>
          <t>E17</t>
        </is>
      </c>
      <c r="B18" s="2" t="inlineStr">
        <is>
          <t>OpenAgentSafety</t>
        </is>
      </c>
      <c r="C18" s="2" t="inlineStr">
        <is>
          <t>agent+tools+users</t>
        </is>
      </c>
      <c r="D18" s="2" t="n">
        <v>3</v>
      </c>
      <c r="E18" s="2" t="inlineStr">
        <is>
          <t>Human–AI workflow</t>
        </is>
      </c>
      <c r="F18" s="2" t="n">
        <v>0</v>
      </c>
      <c r="G18" s="2" t="n">
        <v>2</v>
      </c>
      <c r="H18" s="2" t="n">
        <v>4</v>
      </c>
      <c r="I18" s="2" t="n">
        <v>3</v>
      </c>
      <c r="J18" s="2" t="n">
        <v>2</v>
      </c>
      <c r="K18" s="2" t="n">
        <v>0</v>
      </c>
      <c r="L18" s="2" t="inlineStr">
        <is>
          <t>Not bio-specific; relevant methodological precedent for relational/tool-use safety evaluation</t>
        </is>
      </c>
      <c r="M18" s="2" t="inlineStr">
        <is>
          <t>Unsafe behavior occurs in roughly half to three-quarters of safety-vulnerable benchmark tasks across tested models.</t>
        </is>
      </c>
      <c r="N18" s="2" t="inlineStr">
        <is>
          <t>Moderate</t>
        </is>
      </c>
      <c r="O18" s="2" t="inlineStr">
        <is>
          <t>https://arxiv.org/abs/2507.06134</t>
        </is>
      </c>
    </row>
    <row r="19">
      <c r="A19" s="2" t="inlineStr">
        <is>
          <t>E18</t>
        </is>
      </c>
      <c r="B19" s="2" t="inlineStr">
        <is>
          <t>LLMs Outperform Experts on Challenging Biology Benchmarks</t>
        </is>
      </c>
      <c r="C19" s="2" t="inlineStr">
        <is>
          <t>model</t>
        </is>
      </c>
      <c r="D19" s="2" t="n">
        <v>1</v>
      </c>
      <c r="E19" s="2" t="inlineStr">
        <is>
          <t>Model-only / bounded</t>
        </is>
      </c>
      <c r="F19" s="2" t="n">
        <v>0</v>
      </c>
      <c r="G19" s="2" t="n">
        <v>2.5</v>
      </c>
      <c r="H19" s="2" t="n">
        <v>4</v>
      </c>
      <c r="I19" s="2" t="n">
        <v>2</v>
      </c>
      <c r="J19" s="2" t="n">
        <v>1.5</v>
      </c>
      <c r="K19" s="2" t="n">
        <v>0</v>
      </c>
      <c r="L19" s="2" t="inlineStr">
        <is>
          <t>Signals improving biological capabilities and need for better evaluation methods</t>
        </is>
      </c>
      <c r="M19" s="2" t="inlineStr">
        <is>
          <t>Top model performance rose strongly on several benchmarks; some benchmarks show saturation/data-quality limits.</t>
        </is>
      </c>
      <c r="N19" s="2" t="inlineStr">
        <is>
          <t>Moderate-high</t>
        </is>
      </c>
      <c r="O19" s="2" t="inlineStr">
        <is>
          <t>https://arxiv.org/abs/2505.06108</t>
        </is>
      </c>
    </row>
    <row r="20">
      <c r="A20" s="2" t="inlineStr">
        <is>
          <t>E19</t>
        </is>
      </c>
      <c r="B20" s="2" t="inlineStr">
        <is>
          <t>BixBench</t>
        </is>
      </c>
      <c r="C20" s="2" t="inlineStr">
        <is>
          <t>agent+tools</t>
        </is>
      </c>
      <c r="D20" s="2" t="n">
        <v>2</v>
      </c>
      <c r="E20" s="2" t="inlineStr">
        <is>
          <t>Agent / tools / composed digital</t>
        </is>
      </c>
      <c r="F20" s="2" t="n">
        <v>0</v>
      </c>
      <c r="G20" s="2" t="n">
        <v>2</v>
      </c>
      <c r="H20" s="2" t="n">
        <v>3</v>
      </c>
      <c r="I20" s="2" t="n">
        <v>3</v>
      </c>
      <c r="J20" s="2" t="n">
        <v>3</v>
      </c>
      <c r="K20" s="2" t="n">
        <v>0</v>
      </c>
      <c r="L20" s="2" t="inlineStr">
        <is>
          <t>Indirect; measures research capability that could contribute to biological capability, not security outcomes directly.</t>
        </is>
      </c>
      <c r="M20" s="2" t="inlineStr">
        <is>
          <t>Frontier agents achieved ~21% best open-answer accuracy and marginally better than random in MCQ; benchmark validates multi-step computational limitations.</t>
        </is>
      </c>
      <c r="N20" s="2" t="inlineStr">
        <is>
          <t>Strong evidence of computational-agent limitations; weak direct evidence for biosecurity impact.</t>
        </is>
      </c>
      <c r="O20" s="2" t="inlineStr">
        <is>
          <t>https://arxiv.org/abs/2503.00096</t>
        </is>
      </c>
    </row>
    <row r="21">
      <c r="A21" s="2" t="inlineStr">
        <is>
          <t>E20</t>
        </is>
      </c>
      <c r="B21" s="2" t="inlineStr">
        <is>
          <t>ClaroAI-Bench</t>
        </is>
      </c>
      <c r="C21" s="2" t="inlineStr">
        <is>
          <t>agent+research-artifacts</t>
        </is>
      </c>
      <c r="D21" s="2" t="n">
        <v>4</v>
      </c>
      <c r="E21" s="2" t="inlineStr">
        <is>
          <t>Physical / wet-lab / instrumented</t>
        </is>
      </c>
      <c r="F21" s="2" t="n">
        <v>1</v>
      </c>
      <c r="G21" s="2" t="n">
        <v>2</v>
      </c>
      <c r="H21" s="2" t="n">
        <v>2</v>
      </c>
      <c r="I21" s="2" t="n">
        <v>4</v>
      </c>
      <c r="J21" s="2" t="n">
        <v>4</v>
      </c>
      <c r="K21" s="2" t="n">
        <v>0</v>
      </c>
      <c r="L21" s="2" t="inlineStr">
        <is>
          <t>Indirect; illuminates infrastructure/context dependencies of scientific-agent capability.</t>
        </is>
      </c>
      <c r="M21" s="2" t="inlineStr">
        <is>
          <t>Benchmark measures where real biomedical papers are or are not reproducible by agents across artifact-dependency stages.</t>
        </is>
      </c>
      <c r="N21" s="2" t="inlineStr">
        <is>
          <t>Demonstrates reproducibility bottlenecks, not downstream safety/security effects.</t>
        </is>
      </c>
      <c r="O21" s="2" t="inlineStr">
        <is>
          <t>https://www.biorxiv.org/content/10.64898/2026.05.08.723611v1</t>
        </is>
      </c>
    </row>
    <row r="22">
      <c r="A22" s="2" t="inlineStr">
        <is>
          <t>E21</t>
        </is>
      </c>
      <c r="B22" s="2" t="inlineStr">
        <is>
          <t>BioXArena</t>
        </is>
      </c>
      <c r="C22" s="2" t="inlineStr">
        <is>
          <t>agent+compute+data</t>
        </is>
      </c>
      <c r="D22" s="2" t="n">
        <v>2</v>
      </c>
      <c r="E22" s="2" t="inlineStr">
        <is>
          <t>Agent / tools / composed digital</t>
        </is>
      </c>
      <c r="F22" s="2" t="n">
        <v>0</v>
      </c>
      <c r="G22" s="2" t="n">
        <v>2</v>
      </c>
      <c r="H22" s="2" t="n">
        <v>3</v>
      </c>
      <c r="I22" s="2" t="n">
        <v>4</v>
      </c>
      <c r="J22" s="2" t="n">
        <v>3</v>
      </c>
      <c r="K22" s="2" t="n">
        <v>0</v>
      </c>
      <c r="L22" s="2" t="inlineStr">
        <is>
          <t>Indirect scientific-capability evidence; not designed as biosecurity benchmark.</t>
        </is>
      </c>
      <c r="M22" s="2" t="inlineStr">
        <is>
          <t>Top configurations scored ~0.666/0.636; no single agent dominated all domains; ablations isolate model/scaffold/inference-budget effects.</t>
        </is>
      </c>
      <c r="N22" s="2" t="inlineStr">
        <is>
          <t>Demonstrates ML workflow capability and configuration sensitivity, not consequential biological action.</t>
        </is>
      </c>
      <c r="O22" s="2" t="inlineStr">
        <is>
          <t>https://arxiv.org/abs/2605.15766</t>
        </is>
      </c>
    </row>
    <row r="23">
      <c r="A23" s="2" t="inlineStr">
        <is>
          <t>E22</t>
        </is>
      </c>
      <c r="B23" s="2" t="inlineStr">
        <is>
          <t>M3A: agentic AI for biological discovery in autonomous and copilot settings</t>
        </is>
      </c>
      <c r="C23" s="2" t="inlineStr">
        <is>
          <t>agent+tools+human</t>
        </is>
      </c>
      <c r="D23" s="2" t="n">
        <v>4</v>
      </c>
      <c r="E23" s="2" t="inlineStr">
        <is>
          <t>Physical / wet-lab / instrumented</t>
        </is>
      </c>
      <c r="F23" s="2" t="n">
        <v>1</v>
      </c>
      <c r="G23" s="2" t="n">
        <v>2</v>
      </c>
      <c r="H23" s="2" t="n">
        <v>2.5</v>
      </c>
      <c r="I23" s="2" t="n">
        <v>4</v>
      </c>
      <c r="J23" s="2" t="n">
        <v>4</v>
      </c>
      <c r="K23" s="2" t="n">
        <v>0</v>
      </c>
      <c r="L23" s="2" t="inlineStr">
        <is>
          <t>Indirect; demonstrates where human expertise remains important in AI-enabled biological workflows.</t>
        </is>
      </c>
      <c r="M23" s="2" t="inlineStr">
        <is>
          <t>Agents broadly explore complex data; domain experts remain critical for methodological guidance and biological synthesis; rare cell types fail disproportionately.</t>
        </is>
      </c>
      <c r="N23" s="2" t="inlineStr">
        <is>
          <t>Strong evidence about discovery workflow composition; biosecurity implication remains extrapolated.</t>
        </is>
      </c>
      <c r="O23" s="2" t="inlineStr">
        <is>
          <t>https://www.biorxiv.org/content/10.64898/2026.06.04.729919v1</t>
        </is>
      </c>
    </row>
    <row r="24">
      <c r="A24" s="2" t="inlineStr">
        <is>
          <t>E23</t>
        </is>
      </c>
      <c r="B24" s="2" t="inlineStr">
        <is>
          <t>PromptBio-Bench</t>
        </is>
      </c>
      <c r="C24" s="2" t="inlineStr">
        <is>
          <t>agent+tools</t>
        </is>
      </c>
      <c r="D24" s="2" t="n">
        <v>2</v>
      </c>
      <c r="E24" s="2" t="inlineStr">
        <is>
          <t>Agent / tools / composed digital</t>
        </is>
      </c>
      <c r="F24" s="2" t="n">
        <v>0</v>
      </c>
      <c r="G24" s="2" t="n">
        <v>2</v>
      </c>
      <c r="H24" s="2" t="n">
        <v>3</v>
      </c>
      <c r="I24" s="2" t="n">
        <v>3</v>
      </c>
      <c r="J24" s="2" t="n">
        <v>2</v>
      </c>
      <c r="K24" s="2" t="n">
        <v>0</v>
      </c>
      <c r="L24" s="2" t="inlineStr">
        <is>
          <t>Indirect scientific workflow capability; no direct security claim in abstract.</t>
        </is>
      </c>
      <c r="M24" s="2" t="inlineStr">
        <is>
          <t>Agents perform comparably at easier levels; accuracy declines markedly at higher difficulty.</t>
        </is>
      </c>
      <c r="N24" s="2" t="inlineStr">
        <is>
          <t>Demonstrates difficulty-sensitive workflow performance; readiness beyond benchmark remains uncertain.</t>
        </is>
      </c>
      <c r="O24" s="2" t="inlineStr">
        <is>
          <t>https://www.biorxiv.org/content/10.64898/2026.05.05.723092v1</t>
        </is>
      </c>
    </row>
    <row r="25">
      <c r="A25" s="2" t="inlineStr">
        <is>
          <t>E24</t>
        </is>
      </c>
      <c r="B25" s="2" t="inlineStr">
        <is>
          <t>Benchmarking LLM-based Agents for Single-cell Omics Analysis</t>
        </is>
      </c>
      <c r="C25" s="2" t="inlineStr">
        <is>
          <t>single-agent vs multi-agent</t>
        </is>
      </c>
      <c r="D25" s="2" t="n">
        <v>2</v>
      </c>
      <c r="E25" s="2" t="inlineStr">
        <is>
          <t>Agent / tools / composed digital</t>
        </is>
      </c>
      <c r="F25" s="2" t="n">
        <v>0</v>
      </c>
      <c r="G25" s="2" t="n">
        <v>2</v>
      </c>
      <c r="H25" s="2" t="n">
        <v>3</v>
      </c>
      <c r="I25" s="2" t="n">
        <v>4</v>
      </c>
      <c r="J25" s="2" t="n">
        <v>3</v>
      </c>
      <c r="K25" s="2" t="n">
        <v>0</v>
      </c>
      <c r="L25" s="2" t="inlineStr">
        <is>
          <t>Indirect; measures scientific-agent workflow capability.</t>
        </is>
      </c>
      <c r="M25" s="2" t="inlineStr">
        <is>
          <t>Multi-agent frameworks improved collaboration/execution; code quality was critical; self-reflection had strongest overall impact, followed by RAG/planning.</t>
        </is>
      </c>
      <c r="N25" s="2" t="inlineStr">
        <is>
          <t>Good evidence for architecture/process determinants; security interpretation is extrapolated.</t>
        </is>
      </c>
      <c r="O25" s="2" t="inlineStr">
        <is>
          <t>https://arxiv.org/abs/2508.13201</t>
        </is>
      </c>
    </row>
    <row r="26">
      <c r="A26" s="2" t="inlineStr">
        <is>
          <t>E25</t>
        </is>
      </c>
      <c r="B26" s="2" t="inlineStr">
        <is>
          <t>Open-Rosalind</t>
        </is>
      </c>
      <c r="C26" s="2" t="inlineStr">
        <is>
          <t>agent+tools+constraints</t>
        </is>
      </c>
      <c r="D26" s="2" t="n">
        <v>2</v>
      </c>
      <c r="E26" s="2" t="inlineStr">
        <is>
          <t>Agent / tools / composed digital</t>
        </is>
      </c>
      <c r="F26" s="2" t="n">
        <v>0</v>
      </c>
      <c r="G26" s="2" t="n">
        <v>2</v>
      </c>
      <c r="H26" s="2" t="n">
        <v>2</v>
      </c>
      <c r="I26" s="2" t="n">
        <v>3</v>
      </c>
      <c r="J26" s="2" t="n">
        <v>2</v>
      </c>
      <c r="K26" s="2" t="n">
        <v>0</v>
      </c>
      <c r="L26" s="2" t="inlineStr">
        <is>
          <t>Indirect; architecture may reduce uncontrolled agent behavior and improve scientific accountability.</t>
        </is>
      </c>
      <c r="M26" s="2" t="inlineStr">
        <is>
          <t>System evaluates whether constrained, auditable execution can preserve evidence grounding and traceability.</t>
        </is>
      </c>
      <c r="N26" s="2" t="inlineStr">
        <is>
          <t>Demonstrates auditable constrained architecture, not reduced real-world biosecurity risk.</t>
        </is>
      </c>
      <c r="O26" s="2" t="inlineStr">
        <is>
          <t>https://www.biorxiv.org/content/10.64898/2026.05.06.722404v1</t>
        </is>
      </c>
    </row>
    <row r="27">
      <c r="A27" s="2" t="inlineStr">
        <is>
          <t>E26</t>
        </is>
      </c>
      <c r="B27" s="2" t="inlineStr">
        <is>
          <t>Can AI Conduct Autonomous Scientific Research? Case Studies on Two Real-World Tasks</t>
        </is>
      </c>
      <c r="C27" s="2" t="inlineStr">
        <is>
          <t>agent-frameworks</t>
        </is>
      </c>
      <c r="D27" s="2" t="n">
        <v>2</v>
      </c>
      <c r="E27" s="2" t="inlineStr">
        <is>
          <t>Agent / tools / composed digital</t>
        </is>
      </c>
      <c r="F27" s="2" t="n">
        <v>0</v>
      </c>
      <c r="G27" s="2" t="n">
        <v>2</v>
      </c>
      <c r="H27" s="2" t="n">
        <v>2</v>
      </c>
      <c r="I27" s="2" t="n">
        <v>4</v>
      </c>
      <c r="J27" s="2" t="n">
        <v>4</v>
      </c>
      <c r="K27" s="2" t="n">
        <v>2</v>
      </c>
      <c r="L27" s="2" t="inlineStr">
        <is>
          <t>Indirect but highly relevant to validity of capability claims.</t>
        </is>
      </c>
      <c r="M27" s="2" t="inlineStr">
        <is>
          <t>None of evaluated frameworks completed a full research cycle; some generated manuscripts with fabricated results or unexecuted code/templates.</t>
        </is>
      </c>
      <c r="N27" s="2" t="inlineStr">
        <is>
          <t>Paper specifically demonstrates a large gap between prior framework claims and actual execution.</t>
        </is>
      </c>
      <c r="O27" s="2" t="inlineStr">
        <is>
          <t>https://www.biorxiv.org/content/10.64898/2026.01.05.697809v1</t>
        </is>
      </c>
    </row>
    <row r="28">
      <c r="A28" s="2" t="inlineStr">
        <is>
          <t>E27</t>
        </is>
      </c>
      <c r="B28" s="2" t="inlineStr">
        <is>
          <t>Compiler-Verified Protocols for Real-World AI Execution</t>
        </is>
      </c>
      <c r="C28" s="2" t="inlineStr">
        <is>
          <t>AI/protocol+automation</t>
        </is>
      </c>
      <c r="D28" s="2" t="n">
        <v>0</v>
      </c>
      <c r="E28" s="2" t="inlineStr">
        <is>
          <t>Other / program-level</t>
        </is>
      </c>
      <c r="F28" s="2" t="n">
        <v>1</v>
      </c>
      <c r="G28" s="2" t="n">
        <v>2</v>
      </c>
      <c r="H28" s="2" t="n">
        <v>2</v>
      </c>
      <c r="I28" s="2" t="n">
        <v>4</v>
      </c>
      <c r="J28" s="2" t="n">
        <v>4</v>
      </c>
      <c r="K28" s="2" t="n">
        <v>0</v>
      </c>
      <c r="L28" s="2" t="inlineStr">
        <is>
          <t>Not primarily biosecurity; relevant to digital-to-physical execution reliability and observability.</t>
        </is>
      </c>
      <c r="M28" s="2" t="inlineStr">
        <is>
          <t>Single protocol source produced reproducible execution across manual and liquid-handler contexts in reported case studies.</t>
        </is>
      </c>
      <c r="N28" s="2" t="inlineStr">
        <is>
          <t>Physical validation supports execution claim; broader autonomous-biology implications remain forward-looking.</t>
        </is>
      </c>
      <c r="O28" s="2" t="inlineStr">
        <is>
          <t>https://www.biorxiv.org/content/10.64898/2026.05.05.720956v1</t>
        </is>
      </c>
    </row>
    <row r="29">
      <c r="A29" s="2" t="inlineStr">
        <is>
          <t>E28</t>
        </is>
      </c>
      <c r="B29" s="2" t="inlineStr">
        <is>
          <t>CRISPR-GPT / Gene-editing bench</t>
        </is>
      </c>
      <c r="C29" s="2" t="inlineStr">
        <is>
          <t>agent+tools+human+physical</t>
        </is>
      </c>
      <c r="D29" s="2" t="n">
        <v>4</v>
      </c>
      <c r="E29" s="2" t="inlineStr">
        <is>
          <t>Physical / wet-lab / instrumented</t>
        </is>
      </c>
      <c r="F29" s="2" t="n">
        <v>1</v>
      </c>
      <c r="G29" s="2" t="n">
        <v>1</v>
      </c>
      <c r="H29" s="2" t="n">
        <v>2</v>
      </c>
      <c r="I29" s="2" t="n">
        <v>4</v>
      </c>
      <c r="J29" s="2" t="n">
        <v>4</v>
      </c>
      <c r="K29" s="2" t="n">
        <v>3</v>
      </c>
      <c r="L29" s="2" t="inlineStr">
        <is>
          <t>Not framed primarily as biosecurity; directly relevant to biological capability uplift and human-AI workflow composition.</t>
        </is>
      </c>
      <c r="M29" s="2" t="inlineStr">
        <is>
          <t>CRISPR-GPT outperformed baseline LLMs on several tasks and supported successful first-attempt AI-guided knockout/activation experiments by junior researchers.</t>
        </is>
      </c>
      <c r="N29" s="2" t="inlineStr">
        <is>
          <t>Substantially smaller than model-only benchmarks for workflow capability; security consequence remains inferred.</t>
        </is>
      </c>
      <c r="O29" s="2" t="inlineStr">
        <is>
          <t>https://www.nature.com/articles/s41551-025-01463-z</t>
        </is>
      </c>
    </row>
    <row r="30">
      <c r="A30" s="2" t="inlineStr">
        <is>
          <t>E29</t>
        </is>
      </c>
      <c r="B30" s="2" t="inlineStr">
        <is>
          <t>AI Co-Scientist wet-lab validation</t>
        </is>
      </c>
      <c r="C30" s="2" t="inlineStr">
        <is>
          <t>multi-agent+human+physical</t>
        </is>
      </c>
      <c r="D30" s="2" t="n">
        <v>4</v>
      </c>
      <c r="E30" s="2" t="inlineStr">
        <is>
          <t>Physical / wet-lab / instrumented</t>
        </is>
      </c>
      <c r="F30" s="2" t="n">
        <v>0</v>
      </c>
      <c r="G30" s="2" t="n">
        <v>1</v>
      </c>
      <c r="H30" s="2" t="n">
        <v>2</v>
      </c>
      <c r="I30" s="2" t="n">
        <v>4</v>
      </c>
      <c r="J30" s="2" t="n">
        <v>4</v>
      </c>
      <c r="K30" s="2" t="n">
        <v>2</v>
      </c>
      <c r="L30" s="2" t="inlineStr">
        <is>
          <t>Indirect; demonstrates increasingly actionable biological discovery capability.</t>
        </is>
      </c>
      <c r="M30" s="2" t="inlineStr">
        <is>
          <t>Selected AI-generated hypotheses/proposals were carried through wet-lab validation; component ablations tested architecture contribution.</t>
        </is>
      </c>
      <c r="N30" s="2" t="inlineStr">
        <is>
          <t>Smaller for discovery capability than static benchmarks; catastrophic/security extrapolation would remain large.</t>
        </is>
      </c>
      <c r="O30" s="2" t="inlineStr">
        <is>
          <t>https://www.nature.com/articles/s41586-026-10644-y</t>
        </is>
      </c>
    </row>
    <row r="31">
      <c r="A31" s="2" t="inlineStr">
        <is>
          <t>E30</t>
        </is>
      </c>
      <c r="B31" s="2" t="inlineStr">
        <is>
          <t>BioMedAgent / BioMed-AQA</t>
        </is>
      </c>
      <c r="C31" s="2" t="inlineStr">
        <is>
          <t>multi-agent+tools+memory</t>
        </is>
      </c>
      <c r="D31" s="2" t="n">
        <v>2</v>
      </c>
      <c r="E31" s="2" t="inlineStr">
        <is>
          <t>Agent / tools / composed digital</t>
        </is>
      </c>
      <c r="F31" s="2" t="n">
        <v>0</v>
      </c>
      <c r="G31" s="2" t="n">
        <v>2</v>
      </c>
      <c r="H31" s="2" t="n">
        <v>3</v>
      </c>
      <c r="I31" s="2" t="n">
        <v>4</v>
      </c>
      <c r="J31" s="2" t="n">
        <v>3</v>
      </c>
      <c r="K31" s="2" t="n">
        <v>2</v>
      </c>
      <c r="L31" s="2" t="inlineStr">
        <is>
          <t>Indirect scientific automation capability.</t>
        </is>
      </c>
      <c r="M31" s="2" t="inlineStr">
        <is>
          <t>Reported 77% BioMed-AQA success and generalization to external BixBench; autonomous cross-omics, ML and pathology-image tasks demonstrated.</t>
        </is>
      </c>
      <c r="N31" s="2" t="inlineStr">
        <is>
          <t>Good computational capability evidence; broader scientific/autonomy/security implications remain wider.</t>
        </is>
      </c>
      <c r="O31" s="2" t="inlineStr">
        <is>
          <t>https://www.nature.com/articles/s41551-026-01634-6</t>
        </is>
      </c>
    </row>
    <row r="32">
      <c r="A32" s="2" t="inlineStr">
        <is>
          <t>E31</t>
        </is>
      </c>
      <c r="B32" s="2" t="inlineStr">
        <is>
          <t>Measuring Mid-2025 LLM-Assistance on Novice Performance in Biology</t>
        </is>
      </c>
      <c r="C32" s="2" t="inlineStr">
        <is>
          <t>human+AI+physical</t>
        </is>
      </c>
      <c r="D32" s="2" t="n">
        <v>4</v>
      </c>
      <c r="E32" s="2" t="inlineStr">
        <is>
          <t>Physical / wet-lab / instrumented</t>
        </is>
      </c>
      <c r="F32" s="2" t="n">
        <v>0</v>
      </c>
      <c r="G32" s="2" t="n">
        <v>1</v>
      </c>
      <c r="H32" s="2" t="n">
        <v>4</v>
      </c>
      <c r="I32" s="2" t="n">
        <v>4</v>
      </c>
      <c r="J32" s="2" t="n">
        <v>4</v>
      </c>
      <c r="K32" s="2" t="n">
        <v>0</v>
      </c>
      <c r="L32" s="2" t="inlineStr">
        <is>
          <t>Tests whether strong in-silico biology capability translates into novice real-world lab uplift.</t>
        </is>
      </c>
      <c r="M32" s="2" t="inlineStr">
        <is>
          <t>No significant difference in full workflow completion (5.2% LLM vs 6.6% internet); modest intermediate benefits possible.</t>
        </is>
      </c>
      <c r="N32" s="2" t="inlineStr">
        <is>
          <t>Low for trial endpoint; broader catastrophic-risk claims remain several steps downstream.</t>
        </is>
      </c>
      <c r="O32" s="2" t="inlineStr">
        <is>
          <t>https://arxiv.org/abs/2602.16703</t>
        </is>
      </c>
    </row>
    <row r="33">
      <c r="A33" s="2" t="inlineStr">
        <is>
          <t>E32</t>
        </is>
      </c>
      <c r="B33" s="2" t="inlineStr">
        <is>
          <t>LLM Novice Uplift on Dual-Use, In Silico Biology Tasks</t>
        </is>
      </c>
      <c r="C33" s="2" t="inlineStr">
        <is>
          <t>human+AI</t>
        </is>
      </c>
      <c r="D33" s="2" t="n">
        <v>3</v>
      </c>
      <c r="E33" s="2" t="inlineStr">
        <is>
          <t>Human–AI workflow</t>
        </is>
      </c>
      <c r="F33" s="2" t="n">
        <v>0</v>
      </c>
      <c r="G33" s="2" t="n">
        <v>2</v>
      </c>
      <c r="H33" s="2" t="n">
        <v>4</v>
      </c>
      <c r="I33" s="2" t="n">
        <v>4</v>
      </c>
      <c r="J33" s="2" t="n">
        <v>2</v>
      </c>
      <c r="K33" s="2" t="n">
        <v>0</v>
      </c>
      <c r="L33" s="2" t="inlineStr">
        <is>
          <t>Suggests substantial narrowing of expertise barriers on digital biological tasks.</t>
        </is>
      </c>
      <c r="M33" s="2" t="inlineStr">
        <is>
          <t>LLM access increased novice accuracy ~4.16x; assisted novices exceeded expert baselines on 3/4 benchmarks; standalone LLMs often exceeded human+AI.</t>
        </is>
      </c>
      <c r="N33" s="2" t="inlineStr">
        <is>
          <t>Moderate: strong digital uplift is directly shown; downstream real-world risk remains inferred.</t>
        </is>
      </c>
      <c r="O33" s="2" t="inlineStr">
        <is>
          <t>https://arxiv.org/abs/2602.23329</t>
        </is>
      </c>
    </row>
    <row r="34">
      <c r="A34" s="2" t="inlineStr">
        <is>
          <t>E33</t>
        </is>
      </c>
      <c r="B34" s="2" t="inlineStr">
        <is>
          <t>LABBench2</t>
        </is>
      </c>
      <c r="C34" s="2" t="inlineStr">
        <is>
          <t>model-only / agent-compatible</t>
        </is>
      </c>
      <c r="D34" s="2" t="n">
        <v>2</v>
      </c>
      <c r="E34" s="2" t="inlineStr">
        <is>
          <t>Agent / tools / composed digital</t>
        </is>
      </c>
      <c r="F34" s="2" t="n">
        <v>0</v>
      </c>
      <c r="G34" s="2" t="n">
        <v>2</v>
      </c>
      <c r="H34" s="2" t="n">
        <v>3</v>
      </c>
      <c r="I34" s="2" t="n">
        <v>3</v>
      </c>
      <c r="J34" s="2" t="n">
        <v>2</v>
      </c>
      <c r="K34" s="2" t="n">
        <v>0</v>
      </c>
      <c r="L34" s="2" t="inlineStr">
        <is>
          <t>Improved realism may better track meaningful scientific work than saturated predecessor tasks.</t>
        </is>
      </c>
      <c r="M34" s="2" t="inlineStr">
        <is>
          <t>LABBench2 is substantially harder: model-specific drops of ~26–46 percentage points across subtasks relative to LAB-Bench.</t>
        </is>
      </c>
      <c r="N34" s="2" t="inlineStr">
        <is>
          <t>Moderate</t>
        </is>
      </c>
      <c r="O34" s="2" t="inlineStr">
        <is>
          <t>https://arxiv.org/abs/2604.09554</t>
        </is>
      </c>
    </row>
    <row r="35">
      <c r="A35" s="2" t="inlineStr">
        <is>
          <t>E34</t>
        </is>
      </c>
      <c r="B35" s="2" t="inlineStr">
        <is>
          <t>BioSecBench-Refusal</t>
        </is>
      </c>
      <c r="C35" s="2" t="inlineStr">
        <is>
          <t>agent+harness</t>
        </is>
      </c>
      <c r="D35" s="2" t="n">
        <v>2</v>
      </c>
      <c r="E35" s="2" t="inlineStr">
        <is>
          <t>Agent / tools / composed digital</t>
        </is>
      </c>
      <c r="F35" s="2" t="n">
        <v>0</v>
      </c>
      <c r="G35" s="2" t="n">
        <v>1</v>
      </c>
      <c r="H35" s="2" t="n">
        <v>4</v>
      </c>
      <c r="I35" s="2" t="n">
        <v>4</v>
      </c>
      <c r="J35" s="2" t="n">
        <v>3</v>
      </c>
      <c r="K35" s="2" t="n">
        <v>0</v>
      </c>
      <c r="L35" s="2" t="inlineStr">
        <is>
          <t>Simple refusal rate is a poor proxy for calibrated biological safety.</t>
        </is>
      </c>
      <c r="M35" s="2" t="inlineStr">
        <is>
          <t>Many configurations refused routine tasks as often or more often than concealed hazards; provider filters often dominated; reasoning could improve threat recognition.</t>
        </is>
      </c>
      <c r="N35" s="2" t="inlineStr">
        <is>
          <t>Low for proxy-decoupling claim; higher for downstream security effect.</t>
        </is>
      </c>
      <c r="O35" s="2" t="inlineStr">
        <is>
          <t>https://arxiv.org/abs/2607.05462</t>
        </is>
      </c>
    </row>
    <row r="36">
      <c r="A36" s="2" t="inlineStr">
        <is>
          <t>E35</t>
        </is>
      </c>
      <c r="B36" s="2" t="inlineStr">
        <is>
          <t>RepliBench</t>
        </is>
      </c>
      <c r="C36" s="2" t="inlineStr">
        <is>
          <t>agent+tools+infrastructure</t>
        </is>
      </c>
      <c r="D36" s="2" t="n">
        <v>2</v>
      </c>
      <c r="E36" s="2" t="inlineStr">
        <is>
          <t>Agent / tools / composed digital</t>
        </is>
      </c>
      <c r="F36" s="2" t="n">
        <v>0</v>
      </c>
      <c r="G36" s="2" t="n">
        <v>1</v>
      </c>
      <c r="H36" s="2" t="n">
        <v>4</v>
      </c>
      <c r="I36" s="2" t="n">
        <v>3</v>
      </c>
      <c r="J36" s="2" t="n">
        <v>3</v>
      </c>
      <c r="K36" s="2" t="n">
        <v>0</v>
      </c>
      <c r="L36" s="2" t="inlineStr">
        <is>
          <t>Not bio-specific; useful comparator for component-to-end-to-end capability inference.</t>
        </is>
      </c>
      <c r="M36" s="2" t="inlineStr">
        <is>
          <t>Models succeed on many components but do not currently pose a credible end-to-end self-replication threat; KYC and robust persistence remain bottlenecks.</t>
        </is>
      </c>
      <c r="N36" s="2" t="inlineStr">
        <is>
          <t>Low for current bounded conclusion; future emergence prediction is speculative.</t>
        </is>
      </c>
      <c r="O36" s="2" t="inlineStr">
        <is>
          <t>https://arxiv.org/abs/2504.18565</t>
        </is>
      </c>
    </row>
    <row r="37">
      <c r="A37" s="2" t="inlineStr">
        <is>
          <t>E36</t>
        </is>
      </c>
      <c r="B37" s="2" t="inlineStr">
        <is>
          <t>PaperBench</t>
        </is>
      </c>
      <c r="C37" s="2" t="inlineStr">
        <is>
          <t>agent+compute+research-artifacts</t>
        </is>
      </c>
      <c r="D37" s="2" t="n">
        <v>2</v>
      </c>
      <c r="E37" s="2" t="inlineStr">
        <is>
          <t>Agent / tools / composed digital</t>
        </is>
      </c>
      <c r="F37" s="2" t="n">
        <v>0</v>
      </c>
      <c r="G37" s="2" t="n">
        <v>2</v>
      </c>
      <c r="H37" s="2" t="n">
        <v>3</v>
      </c>
      <c r="I37" s="2" t="n">
        <v>4</v>
      </c>
      <c r="J37" s="2" t="n">
        <v>3</v>
      </c>
      <c r="K37" s="2" t="n">
        <v>0</v>
      </c>
      <c r="L37" s="2" t="inlineStr">
        <is>
          <t>Not bio-specific; measures a key precursor to autonomous AI R&amp;D.</t>
        </is>
      </c>
      <c r="M37" s="2" t="inlineStr">
        <is>
          <t>Best tested agent scored ~21%; models did not outperform human baseline.</t>
        </is>
      </c>
      <c r="N37" s="2" t="inlineStr">
        <is>
          <t>Moderate</t>
        </is>
      </c>
      <c r="O37" s="2" t="inlineStr">
        <is>
          <t>https://openai.com/index/paperbench/</t>
        </is>
      </c>
    </row>
    <row r="38">
      <c r="A38" s="2" t="inlineStr">
        <is>
          <t>E37</t>
        </is>
      </c>
      <c r="B38" s="2" t="inlineStr">
        <is>
          <t>Persuasion Undermining Control (PUC) preliminary evaluation</t>
        </is>
      </c>
      <c r="C38" s="2" t="inlineStr">
        <is>
          <t>AI actor + monitor</t>
        </is>
      </c>
      <c r="D38" s="2" t="n">
        <v>0</v>
      </c>
      <c r="E38" s="2" t="inlineStr">
        <is>
          <t>Other / program-level</t>
        </is>
      </c>
      <c r="F38" s="2" t="n">
        <v>0</v>
      </c>
      <c r="G38" s="2" t="n">
        <v>2.5</v>
      </c>
      <c r="H38" s="2" t="n">
        <v>4</v>
      </c>
      <c r="I38" s="2" t="n">
        <v>2</v>
      </c>
      <c r="J38" s="2" t="n">
        <v>1.5</v>
      </c>
      <c r="K38" s="2" t="n">
        <v>0</v>
      </c>
      <c r="L38" s="2" t="inlineStr">
        <is>
          <t>Not bio-specific; shows monitoring effectiveness depends on contextual evidence.</t>
        </is>
      </c>
      <c r="M38" s="2" t="inlineStr">
        <is>
          <t>Source-aware judges better distinguish manipulative actors; fully blind judge struggles and can mis-rank aligned actor.</t>
        </is>
      </c>
      <c r="N38" s="2" t="inlineStr">
        <is>
          <t>Moderate-high between threat framing and preliminary empirical result.</t>
        </is>
      </c>
      <c r="O38" s="2" t="inlineStr">
        <is>
          <t>https://arxiv.org/abs/2609.14796</t>
        </is>
      </c>
    </row>
    <row r="39">
      <c r="A39" s="2" t="inlineStr">
        <is>
          <t>E38</t>
        </is>
      </c>
      <c r="B39" s="2" t="inlineStr">
        <is>
          <t>Anthropic 2024 preliminary wet-lab uplift pilot</t>
        </is>
      </c>
      <c r="C39" s="2" t="inlineStr">
        <is>
          <t>human+AI+physical</t>
        </is>
      </c>
      <c r="D39" s="2" t="n">
        <v>4</v>
      </c>
      <c r="E39" s="2" t="inlineStr">
        <is>
          <t>Physical / wet-lab / instrumented</t>
        </is>
      </c>
      <c r="F39" s="2" t="n">
        <v>0</v>
      </c>
      <c r="G39" s="2" t="n">
        <v>1</v>
      </c>
      <c r="H39" s="2" t="n">
        <v>3</v>
      </c>
      <c r="I39" s="2" t="n">
        <v>2</v>
      </c>
      <c r="J39" s="2" t="n">
        <v>2</v>
      </c>
      <c r="K39" s="2" t="n">
        <v>0</v>
      </c>
      <c r="L39" s="2" t="inlineStr">
        <is>
          <t>Tacit knowledge may not be as strong a bottleneck as assumed; larger study needed.</t>
        </is>
      </c>
      <c r="M39" s="2" t="inlineStr">
        <is>
          <t>No evidence of AI uplift; both groups performed surprisingly well, limiting inference.</t>
        </is>
      </c>
      <c r="N39" s="2" t="inlineStr">
        <is>
          <t>Authors are appropriately cautious; direct result is null/uncertain.</t>
        </is>
      </c>
      <c r="O39" s="2" t="inlineStr">
        <is>
          <t>https://www.anthropic.com/research/biorisk</t>
        </is>
      </c>
    </row>
    <row r="40">
      <c r="A40" s="2" t="inlineStr">
        <is>
          <t>E39</t>
        </is>
      </c>
      <c r="B40" s="2" t="inlineStr">
        <is>
          <t>Anthropic Claude Opus 4 bioweapons-acquisition uplift trial</t>
        </is>
      </c>
      <c r="C40" s="2" t="inlineStr">
        <is>
          <t>human+AI</t>
        </is>
      </c>
      <c r="D40" s="2" t="n">
        <v>3</v>
      </c>
      <c r="E40" s="2" t="inlineStr">
        <is>
          <t>Human–AI workflow</t>
        </is>
      </c>
      <c r="F40" s="2" t="n">
        <v>0</v>
      </c>
      <c r="G40" s="2" t="n">
        <v>2</v>
      </c>
      <c r="H40" s="2" t="n">
        <v>4</v>
      </c>
      <c r="I40" s="2" t="n">
        <v>3</v>
      </c>
      <c r="J40" s="2" t="n">
        <v>1.5</v>
      </c>
      <c r="K40" s="2" t="n">
        <v>0</v>
      </c>
      <c r="L40" s="2" t="inlineStr">
        <is>
          <t>Evidence that text assistance can improve dangerous planning, motivating precautionary safeguards.</t>
        </is>
      </c>
      <c r="M40" s="2" t="inlineStr">
        <is>
          <t>Anthropic reports ~2.53x uplift in plan quality and fewer critical failures, while remaining below its internal 5x threshold and without physical execution.</t>
        </is>
      </c>
      <c r="N40" s="2" t="inlineStr">
        <is>
          <t>Moderate: text uplift shown, real-world risk increase not directly demonstrated.</t>
        </is>
      </c>
      <c r="O40" s="2" t="inlineStr">
        <is>
          <t>https://www.anthropic.com/research/biorisk</t>
        </is>
      </c>
    </row>
    <row r="41">
      <c r="A41" s="2" t="inlineStr">
        <is>
          <t>E40</t>
        </is>
      </c>
      <c r="B41" s="2" t="inlineStr">
        <is>
          <t>Agentic AI for Reproducible Human-in-the-Loop Environmental Health Research</t>
        </is>
      </c>
      <c r="C41" s="2" t="inlineStr">
        <is>
          <t>human+AI+tools</t>
        </is>
      </c>
      <c r="D41" s="2" t="n">
        <v>3</v>
      </c>
      <c r="E41" s="2" t="inlineStr">
        <is>
          <t>Human–AI workflow</t>
        </is>
      </c>
      <c r="F41" s="2" t="n">
        <v>0</v>
      </c>
      <c r="G41" s="2" t="n">
        <v>1</v>
      </c>
      <c r="H41" s="2" t="n">
        <v>4</v>
      </c>
      <c r="I41" s="2" t="n">
        <v>3</v>
      </c>
      <c r="J41" s="2" t="n">
        <v>3</v>
      </c>
      <c r="K41" s="2" t="n">
        <v>0</v>
      </c>
      <c r="L41" s="2" t="inlineStr">
        <is>
          <t>Adjacent scientific-workflow evidence for buffering and correction, not biosecurity-specific.</t>
        </is>
      </c>
      <c r="M41" s="2" t="inlineStr">
        <is>
          <t>Initial agentic outputs benefited from human verification and correction; domain expertise/coding literacy remained necessary.</t>
        </is>
      </c>
      <c r="N41" s="2" t="inlineStr">
        <is>
          <t>Low for bounded case; broader generalization limited.</t>
        </is>
      </c>
      <c r="O41" s="2" t="inlineStr">
        <is>
          <t>https://arxiv.org/abs/2608.06771</t>
        </is>
      </c>
    </row>
    <row r="42">
      <c r="A42" s="2" t="inlineStr">
        <is>
          <t>E41</t>
        </is>
      </c>
      <c r="B42" s="2" t="inlineStr">
        <is>
          <t>Human-in-the-loop LLMs for Functional Hazard Assessment</t>
        </is>
      </c>
      <c r="C42" s="2" t="inlineStr">
        <is>
          <t>human+AI+RAG</t>
        </is>
      </c>
      <c r="D42" s="2" t="n">
        <v>3</v>
      </c>
      <c r="E42" s="2" t="inlineStr">
        <is>
          <t>Human–AI workflow</t>
        </is>
      </c>
      <c r="F42" s="2" t="n">
        <v>0</v>
      </c>
      <c r="G42" s="2" t="n">
        <v>1</v>
      </c>
      <c r="H42" s="2" t="n">
        <v>4</v>
      </c>
      <c r="I42" s="2" t="n">
        <v>4</v>
      </c>
      <c r="J42" s="2" t="n">
        <v>3</v>
      </c>
      <c r="K42" s="2" t="n">
        <v>0</v>
      </c>
      <c r="L42" s="2" t="inlineStr">
        <is>
          <t>Adjacent systems-safety evidence for why expert relational controls matter.</t>
        </is>
      </c>
      <c r="M42" s="2" t="inlineStr">
        <is>
          <t>LLM recovered expert functions with high recall but inflated severities/reduced diversity; expert review restored severity logic while preserving speed.</t>
        </is>
      </c>
      <c r="N42" s="2" t="inlineStr">
        <is>
          <t>Low for case-study claim; broader safety effect unknown.</t>
        </is>
      </c>
      <c r="O42" s="2" t="inlineStr">
        <is>
          <t>https://doi.org/10.1016/j.rineng.2026.111313</t>
        </is>
      </c>
    </row>
    <row r="43">
      <c r="A43" s="2" t="inlineStr">
        <is>
          <t>E42</t>
        </is>
      </c>
      <c r="B43" s="2" t="inlineStr">
        <is>
          <t>Agentic Artificially Intelligent X-ray Scientist</t>
        </is>
      </c>
      <c r="C43" s="2" t="inlineStr">
        <is>
          <t>agent+instrument+physical feedback</t>
        </is>
      </c>
      <c r="D43" s="2" t="n">
        <v>4</v>
      </c>
      <c r="E43" s="2" t="inlineStr">
        <is>
          <t>Physical / wet-lab / instrumented</t>
        </is>
      </c>
      <c r="F43" s="2" t="n">
        <v>0</v>
      </c>
      <c r="G43" s="2" t="n">
        <v>1</v>
      </c>
      <c r="H43" s="2" t="n">
        <v>4</v>
      </c>
      <c r="I43" s="2" t="n">
        <v>4</v>
      </c>
      <c r="J43" s="2" t="n">
        <v>4</v>
      </c>
      <c r="K43" s="2" t="n">
        <v>0</v>
      </c>
      <c r="L43" s="2" t="inlineStr">
        <is>
          <t>Not biosecurity-specific; demonstrates how feedback-rich physical interfaces can close agentic loops.</t>
        </is>
      </c>
      <c r="M43" s="2" t="inlineStr">
        <is>
          <t>Agent autonomously plans/actions/interprets/iterates to perform a real X-ray alignment task.</t>
        </is>
      </c>
      <c r="N43" s="2" t="inlineStr">
        <is>
          <t>Low for bounded physical task.</t>
        </is>
      </c>
      <c r="O43" s="2" t="inlineStr">
        <is>
          <t>https://www.nature.com/articles/s42256-026-01261-5</t>
        </is>
      </c>
    </row>
  </sheetData>
  <autoFilter ref="A1:O4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4" customWidth="1" min="3" max="3"/>
    <col width="28" customWidth="1" min="4" max="4"/>
    <col width="2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  <col width="18" customWidth="1" min="11" max="11"/>
    <col width="45" customWidth="1" min="12" max="12"/>
    <col width="16" customWidth="1" min="13" max="13"/>
    <col width="45" customWidth="1" min="14" max="14"/>
  </cols>
  <sheetData>
    <row r="1">
      <c r="A1" s="6" t="inlineStr">
        <is>
          <t>id</t>
        </is>
      </c>
      <c r="B1" s="6" t="inlineStr">
        <is>
          <t>trajectory</t>
        </is>
      </c>
      <c r="C1" s="6" t="inlineStr">
        <is>
          <t>domain</t>
        </is>
      </c>
      <c r="D1" s="6" t="inlineStr">
        <is>
          <t>trajectory_class</t>
        </is>
      </c>
      <c r="E1" s="6" t="inlineStr">
        <is>
          <t>evidence_level</t>
        </is>
      </c>
      <c r="F1" s="6" t="inlineStr">
        <is>
          <t>feedback_available</t>
        </is>
      </c>
      <c r="G1" s="6" t="inlineStr">
        <is>
          <t>feedback_interpretable</t>
        </is>
      </c>
      <c r="H1" s="6" t="inlineStr">
        <is>
          <t>update_capacity</t>
        </is>
      </c>
      <c r="I1" s="6" t="inlineStr">
        <is>
          <t>update_observed</t>
        </is>
      </c>
      <c r="J1" s="6" t="inlineStr">
        <is>
          <t>feedback_chain_score</t>
        </is>
      </c>
      <c r="K1" s="6" t="inlineStr">
        <is>
          <t>feedback_to_update_gap</t>
        </is>
      </c>
      <c r="L1" s="6" t="inlineStr">
        <is>
          <t>control_effect</t>
        </is>
      </c>
      <c r="M1" s="6" t="inlineStr">
        <is>
          <t>physical_validation</t>
        </is>
      </c>
      <c r="N1" s="6" t="inlineStr">
        <is>
          <t>canonical_url</t>
        </is>
      </c>
    </row>
    <row r="2">
      <c r="A2" s="2" t="inlineStr">
        <is>
          <t>T01</t>
        </is>
      </c>
      <c r="B2" s="2" t="inlineStr">
        <is>
          <t>ABC-Bench OpenTrons wet-lab execution</t>
        </is>
      </c>
      <c r="C2" s="2" t="inlineStr">
        <is>
          <t>AI-bio / lab automation</t>
        </is>
      </c>
      <c r="D2" s="2" t="inlineStr">
        <is>
          <t>controlled perturbation / recovery</t>
        </is>
      </c>
      <c r="E2" s="2" t="inlineStr">
        <is>
          <t>Demonstrated</t>
        </is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0</v>
      </c>
      <c r="L2" s="2" t="inlineStr">
        <is>
          <t>corrected/recovered</t>
        </is>
      </c>
      <c r="M2" s="2" t="n">
        <v>0</v>
      </c>
      <c r="N2" s="2" t="inlineStr">
        <is>
          <t>https://arxiv.org/abs/2606.11150</t>
        </is>
      </c>
    </row>
    <row r="3">
      <c r="A3" s="2" t="inlineStr">
        <is>
          <t>T02</t>
        </is>
      </c>
      <c r="B3" s="2" t="inlineStr">
        <is>
          <t>GPT-5 iterative cloning optimization</t>
        </is>
      </c>
      <c r="C3" s="2" t="inlineStr">
        <is>
          <t>AI-bio / experimental optimization</t>
        </is>
      </c>
      <c r="D3" s="2" t="inlineStr">
        <is>
          <t>iterative optimization trajectory</t>
        </is>
      </c>
      <c r="E3" s="2" t="inlineStr">
        <is>
          <t>Demonstrated for bounded workflow</t>
        </is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0</v>
      </c>
      <c r="L3" s="2" t="inlineStr">
        <is>
          <t>iterative improvement</t>
        </is>
      </c>
      <c r="M3" s="2" t="n">
        <v>0</v>
      </c>
      <c r="N3" s="2" t="inlineStr">
        <is>
          <t>https://openai.com/index/accelerating-biological-research-in-the-wet-lab/</t>
        </is>
      </c>
    </row>
    <row r="4">
      <c r="A4" s="2" t="inlineStr">
        <is>
          <t>T03</t>
        </is>
      </c>
      <c r="B4" s="2" t="inlineStr">
        <is>
          <t>In-silico screening-evasion concern tested with safe physical proxies</t>
        </is>
      </c>
      <c r="C4" s="2" t="inlineStr">
        <is>
          <t>AI-bio / protein design / screening</t>
        </is>
      </c>
      <c r="D4" s="2" t="inlineStr">
        <is>
          <t>validation / risk-revision trajectory</t>
        </is>
      </c>
      <c r="E4" s="2" t="inlineStr">
        <is>
          <t>Demonstrated</t>
        </is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0</v>
      </c>
      <c r="L4" s="2" t="inlineStr">
        <is>
          <t>revised interpretation</t>
        </is>
      </c>
      <c r="M4" s="2" t="n">
        <v>0</v>
      </c>
      <c r="N4" s="2" t="inlineStr">
        <is>
          <t>https://www.nist.gov/publications/experimental-evaluation-ai-driven-protein-design-risks-using-safe-biological-proxies</t>
        </is>
      </c>
    </row>
    <row r="5">
      <c r="A5" s="2" t="inlineStr">
        <is>
          <t>T04</t>
        </is>
      </c>
      <c r="B5" s="2" t="inlineStr">
        <is>
          <t>LANL novice wet-lab uplift pilot</t>
        </is>
      </c>
      <c r="C5" s="2" t="inlineStr">
        <is>
          <t>AI-bio / human-AI wet lab</t>
        </is>
      </c>
      <c r="D5" s="2" t="inlineStr">
        <is>
          <t>controlled human-workflow experiment</t>
        </is>
      </c>
      <c r="E5" s="2" t="inlineStr">
        <is>
          <t>Demonstrated null/uncertain pilot result</t>
        </is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0</v>
      </c>
      <c r="L5" s="2" t="inlineStr">
        <is>
          <t>adapted during task</t>
        </is>
      </c>
      <c r="M5" s="2" t="n">
        <v>0</v>
      </c>
      <c r="N5" s="2" t="inlineStr">
        <is>
          <t>https://arxiv.org/abs/2512.10960</t>
        </is>
      </c>
    </row>
    <row r="6">
      <c r="A6" s="2" t="inlineStr">
        <is>
          <t>T05</t>
        </is>
      </c>
      <c r="B6" s="2" t="inlineStr">
        <is>
          <t>AI-reformulated sequences challenged synthesis screening</t>
        </is>
      </c>
      <c r="C6" s="2" t="inlineStr">
        <is>
          <t>AI-bio / synthesis screening</t>
        </is>
      </c>
      <c r="D6" s="2" t="inlineStr">
        <is>
          <t>safeguard adaptation trajectory</t>
        </is>
      </c>
      <c r="E6" s="2" t="inlineStr">
        <is>
          <t>Demonstrated</t>
        </is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0</v>
      </c>
      <c r="L6" s="2" t="inlineStr">
        <is>
          <t>corrected/recovered</t>
        </is>
      </c>
      <c r="M6" s="2" t="n">
        <v>0</v>
      </c>
      <c r="N6" s="2" t="inlineStr">
        <is>
          <t>https://pmc.ncbi.nlm.nih.gov/articles/PMC13402867/</t>
        </is>
      </c>
    </row>
    <row r="7">
      <c r="A7" s="2" t="inlineStr">
        <is>
          <t>T06</t>
        </is>
      </c>
      <c r="B7" s="2" t="inlineStr">
        <is>
          <t>Forced-depth intervention changes LLM-agent protein design performance</t>
        </is>
      </c>
      <c r="C7" s="2" t="inlineStr">
        <is>
          <t>AI-bio / computational protein design</t>
        </is>
      </c>
      <c r="D7" s="2" t="inlineStr">
        <is>
          <t>controlled workflow-policy perturbation</t>
        </is>
      </c>
      <c r="E7" s="2" t="inlineStr">
        <is>
          <t>Demonstrated in silico</t>
        </is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0</v>
      </c>
      <c r="L7" s="2" t="inlineStr">
        <is>
          <t>corrected/recovered</t>
        </is>
      </c>
      <c r="M7" s="2" t="n">
        <v>0</v>
      </c>
      <c r="N7" s="2" t="inlineStr">
        <is>
          <t>https://pmc.ncbi.nlm.nih.gov/articles/PMC13174699/</t>
        </is>
      </c>
    </row>
    <row r="8">
      <c r="A8" s="2" t="inlineStr">
        <is>
          <t>T07</t>
        </is>
      </c>
      <c r="B8" s="2" t="inlineStr">
        <is>
          <t>Mythos 5 social-engineering attempt blocked by human vigilance</t>
        </is>
      </c>
      <c r="C8" s="2" t="inlineStr">
        <is>
          <t>Adjacent empirical security / cyber</t>
        </is>
      </c>
      <c r="D8" s="2" t="inlineStr">
        <is>
          <t>safeguard encounter / attack interruption</t>
        </is>
      </c>
      <c r="E8" s="2" t="inlineStr">
        <is>
          <t>Demonstrated incident/evaluation</t>
        </is>
      </c>
      <c r="F8" s="2" t="n">
        <v>1</v>
      </c>
      <c r="G8" s="2" t="n">
        <v>0.5</v>
      </c>
      <c r="H8" s="2" t="n">
        <v>1</v>
      </c>
      <c r="I8" s="2" t="n">
        <v>0</v>
      </c>
      <c r="J8" s="2" t="n">
        <v>0.625</v>
      </c>
      <c r="K8" s="2" t="n">
        <v>1</v>
      </c>
      <c r="L8" s="2" t="inlineStr">
        <is>
          <t>buffered/interrupted</t>
        </is>
      </c>
      <c r="M8" s="2" t="n">
        <v>0</v>
      </c>
      <c r="N8" s="2" t="inlineStr">
        <is>
          <t>https://arxiv.org/abs/2609.14796</t>
        </is>
      </c>
    </row>
    <row r="9">
      <c r="A9" s="2" t="inlineStr">
        <is>
          <t>T08</t>
        </is>
      </c>
      <c r="B9" s="2" t="inlineStr">
        <is>
          <t>Removal of source context degrades manipulation monitoring</t>
        </is>
      </c>
      <c r="C9" s="2" t="inlineStr">
        <is>
          <t>AI control / monitoring</t>
        </is>
      </c>
      <c r="D9" s="2" t="inlineStr">
        <is>
          <t>measurement / monitoring trajectory</t>
        </is>
      </c>
      <c r="E9" s="2" t="inlineStr">
        <is>
          <t>Demonstrated in preliminary setup</t>
        </is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0</v>
      </c>
      <c r="L9" s="2" t="inlineStr">
        <is>
          <t>revised interpretation</t>
        </is>
      </c>
      <c r="M9" s="2" t="n">
        <v>0</v>
      </c>
      <c r="N9" s="2" t="inlineStr">
        <is>
          <t>https://arxiv.org/abs/2609.14796</t>
        </is>
      </c>
    </row>
    <row r="10">
      <c r="A10" s="2" t="inlineStr">
        <is>
          <t>T09</t>
        </is>
      </c>
      <c r="B10" s="2" t="inlineStr">
        <is>
          <t>Claude protein designs carried through automated wet lab</t>
        </is>
      </c>
      <c r="C10" s="2" t="inlineStr">
        <is>
          <t>AI-bio / protein design</t>
        </is>
      </c>
      <c r="D10" s="2" t="inlineStr">
        <is>
          <t>digital-to-physical validation trajectory</t>
        </is>
      </c>
      <c r="E10" s="2" t="inlineStr">
        <is>
          <t>Demonstrated case-study results</t>
        </is>
      </c>
      <c r="F10" s="2" t="n">
        <v>1</v>
      </c>
      <c r="G10" s="2" t="n">
        <v>0.5</v>
      </c>
      <c r="H10" s="2" t="n">
        <v>1</v>
      </c>
      <c r="I10" s="2" t="n">
        <v>0.5</v>
      </c>
      <c r="J10" s="2" t="n">
        <v>0.75</v>
      </c>
      <c r="K10" s="2" t="n">
        <v>0.5</v>
      </c>
      <c r="L10" s="2" t="inlineStr">
        <is>
          <t>iterative improvement</t>
        </is>
      </c>
      <c r="M10" s="2" t="n">
        <v>0</v>
      </c>
      <c r="N10" s="2" t="inlineStr">
        <is>
          <t>https://www.adaptyvbio.com/blog/anthropic-1</t>
        </is>
      </c>
    </row>
    <row r="11">
      <c r="A11" s="2" t="inlineStr">
        <is>
          <t>T10</t>
        </is>
      </c>
      <c r="B11" s="2" t="inlineStr">
        <is>
          <t>Refusal-rate proxy changes model ranking relative to tier discrimination</t>
        </is>
      </c>
      <c r="C11" s="2" t="inlineStr">
        <is>
          <t>AI-bio / safeguard measurement</t>
        </is>
      </c>
      <c r="D11" s="2" t="inlineStr">
        <is>
          <t>measurement / metric trajectory</t>
        </is>
      </c>
      <c r="E11" s="2" t="inlineStr">
        <is>
          <t>Demonstrated</t>
        </is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0</v>
      </c>
      <c r="L11" s="2" t="inlineStr">
        <is>
          <t>revised interpretation</t>
        </is>
      </c>
      <c r="M11" s="2" t="n">
        <v>0</v>
      </c>
      <c r="N11" s="2" t="inlineStr">
        <is>
          <t>https://arxiv.org/abs/2605.21545</t>
        </is>
      </c>
    </row>
    <row r="12">
      <c r="A12" s="2" t="inlineStr">
        <is>
          <t>T11</t>
        </is>
      </c>
      <c r="B12" s="2" t="inlineStr">
        <is>
          <t>BioAgent Bench robustness perturbations degrade otherwise successful pipelines</t>
        </is>
      </c>
      <c r="C12" s="2" t="inlineStr">
        <is>
          <t>AI-bio / bioinformatics</t>
        </is>
      </c>
      <c r="D12" s="2" t="inlineStr">
        <is>
          <t>controlled perturbation / robustness</t>
        </is>
      </c>
      <c r="E12" s="2" t="inlineStr">
        <is>
          <t>Controlled benchmark experiment</t>
        </is>
      </c>
      <c r="F12" s="2" t="n">
        <v>1</v>
      </c>
      <c r="G12" s="2" t="n">
        <v>1</v>
      </c>
      <c r="H12" s="2" t="n">
        <v>0</v>
      </c>
      <c r="I12" s="2" t="n">
        <v>0</v>
      </c>
      <c r="J12" s="2" t="n">
        <v>0.5</v>
      </c>
      <c r="K12" s="2" t="n">
        <v>1</v>
      </c>
      <c r="L12" s="2" t="inlineStr">
        <is>
          <t>Shows high-level pipeline completion can mask fragile step-level reasoning</t>
        </is>
      </c>
      <c r="M12" s="2" t="n">
        <v>0</v>
      </c>
      <c r="N12" s="2" t="inlineStr">
        <is>
          <t>https://arxiv.org/abs/2601.21800</t>
        </is>
      </c>
    </row>
    <row r="13">
      <c r="A13" s="2" t="inlineStr">
        <is>
          <t>T12</t>
        </is>
      </c>
      <c r="B13" s="2" t="inlineStr">
        <is>
          <t>BioSecBench agent chooses correct surveillance workflow but fails on surrounding analytical choices</t>
        </is>
      </c>
      <c r="C13" s="2" t="inlineStr">
        <is>
          <t>AI-bio / pathogen genomic surveillance</t>
        </is>
      </c>
      <c r="D13" s="2" t="inlineStr">
        <is>
          <t>workflow decision failure</t>
        </is>
      </c>
      <c r="E13" s="2" t="inlineStr">
        <is>
          <t>Controlled benchmark derived from real workflows</t>
        </is>
      </c>
      <c r="F13" s="2" t="n">
        <v>1</v>
      </c>
      <c r="G13" s="2" t="n">
        <v>1</v>
      </c>
      <c r="H13" s="2" t="n"/>
      <c r="I13" s="2" t="n">
        <v>0</v>
      </c>
      <c r="J13" s="2" t="n">
        <v>0.6666666666666666</v>
      </c>
      <c r="K13" s="2" t="n">
        <v>1</v>
      </c>
      <c r="L13" s="2" t="inlineStr">
        <is>
          <t>Demonstrates tool selection alone is insufficient for reliable surveillance</t>
        </is>
      </c>
      <c r="M13" s="2" t="n">
        <v>0</v>
      </c>
      <c r="N13" s="2" t="inlineStr">
        <is>
          <t>https://arxiv.org/abs/2607.19262</t>
        </is>
      </c>
    </row>
    <row r="14">
      <c r="A14" s="2" t="inlineStr">
        <is>
          <t>T13</t>
        </is>
      </c>
      <c r="B14" s="2" t="inlineStr">
        <is>
          <t>BiomniBench shows harness choice shifts scientific-agent performance more than model generation</t>
        </is>
      </c>
      <c r="C14" s="2" t="inlineStr">
        <is>
          <t>AI-bio / biomedical data analysis</t>
        </is>
      </c>
      <c r="D14" s="2" t="inlineStr">
        <is>
          <t>configuration sensitivity</t>
        </is>
      </c>
      <c r="E14" s="2" t="inlineStr">
        <is>
          <t>Controlled benchmark comparison</t>
        </is>
      </c>
      <c r="F14" s="2" t="n">
        <v>1</v>
      </c>
      <c r="G14" s="2" t="n">
        <v>1</v>
      </c>
      <c r="H14" s="2" t="n"/>
      <c r="I14" s="2" t="n">
        <v>0</v>
      </c>
      <c r="J14" s="2" t="n">
        <v>0.6666666666666666</v>
      </c>
      <c r="K14" s="2" t="n">
        <v>1</v>
      </c>
      <c r="L14" s="2" t="inlineStr">
        <is>
          <t>Shows measured capability is not a property of model alone</t>
        </is>
      </c>
      <c r="M14" s="2" t="n">
        <v>0</v>
      </c>
      <c r="N14" s="2" t="inlineStr">
        <is>
          <t>https://www.biorxiv.org/content/10.64898/2026.05.12.724604v2</t>
        </is>
      </c>
    </row>
    <row r="15">
      <c r="A15" s="2" t="inlineStr">
        <is>
          <t>T14</t>
        </is>
      </c>
      <c r="B15" s="2" t="inlineStr">
        <is>
          <t>OpenAgentSafety reveals unsafe behavior that appears only in dynamic user-tool interaction</t>
        </is>
      </c>
      <c r="C15" s="2" t="inlineStr">
        <is>
          <t>AI safety / agentic systems</t>
        </is>
      </c>
      <c r="D15" s="2" t="inlineStr">
        <is>
          <t>interactive safety failure</t>
        </is>
      </c>
      <c r="E15" s="2" t="inlineStr">
        <is>
          <t>Interactive simulation benchmark</t>
        </is>
      </c>
      <c r="F15" s="2" t="n">
        <v>1</v>
      </c>
      <c r="G15" s="2" t="n">
        <v>0.5</v>
      </c>
      <c r="H15" s="2" t="n">
        <v>0.5</v>
      </c>
      <c r="I15" s="2" t="n">
        <v>0.5</v>
      </c>
      <c r="J15" s="2" t="n">
        <v>0.625</v>
      </c>
      <c r="K15" s="2" t="n">
        <v>0.5</v>
      </c>
      <c r="L15" s="2" t="inlineStr">
        <is>
          <t>Shows static output tests can miss safety failures emerging through interaction</t>
        </is>
      </c>
      <c r="M15" s="2" t="n">
        <v>0</v>
      </c>
      <c r="N15" s="2" t="inlineStr">
        <is>
          <t>https://arxiv.org/abs/2507.06134</t>
        </is>
      </c>
    </row>
    <row r="16">
      <c r="A16" s="2" t="inlineStr">
        <is>
          <t>T15</t>
        </is>
      </c>
      <c r="B16" s="2" t="inlineStr">
        <is>
          <t>Model-only biology benchmarks saturate while workflow-level capability remains unresolved</t>
        </is>
      </c>
      <c r="C16" s="2" t="inlineStr">
        <is>
          <t>AI-bio / capability evaluation</t>
        </is>
      </c>
      <c r="D16" s="2" t="inlineStr">
        <is>
          <t>proxy saturation / boundary mismatch</t>
        </is>
      </c>
      <c r="E16" s="2" t="inlineStr">
        <is>
          <t>Cross-benchmark empirical analysis</t>
        </is>
      </c>
      <c r="F16" s="2" t="n">
        <v>1</v>
      </c>
      <c r="G16" s="2" t="n">
        <v>1</v>
      </c>
      <c r="H16" s="2" t="n">
        <v>0.5</v>
      </c>
      <c r="I16" s="2" t="n">
        <v>0.5</v>
      </c>
      <c r="J16" s="2" t="n">
        <v>0.75</v>
      </c>
      <c r="K16" s="2" t="n">
        <v>0.5</v>
      </c>
      <c r="L16" s="2" t="inlineStr">
        <is>
          <t>Reveals proxy may stop tracking target construct</t>
        </is>
      </c>
      <c r="M16" s="2" t="n">
        <v>0</v>
      </c>
      <c r="N16" s="2" t="inlineStr">
        <is>
          <t>https://arxiv.org/abs/2505.06108</t>
        </is>
      </c>
    </row>
    <row r="17">
      <c r="A17" s="2" t="inlineStr">
        <is>
          <t>T16</t>
        </is>
      </c>
      <c r="B17" s="2" t="inlineStr">
        <is>
          <t>BixBench agents fail across long multi-step bioinformatics trajectories despite frontier-model knowledge</t>
        </is>
      </c>
      <c r="C17" s="2" t="inlineStr">
        <is>
          <t>AI-bio / computational biology</t>
        </is>
      </c>
      <c r="D17" s="2" t="inlineStr">
        <is>
          <t>workflow failure / capability gap</t>
        </is>
      </c>
      <c r="E17" s="2" t="inlineStr">
        <is>
          <t>Direct executable benchmark</t>
        </is>
      </c>
      <c r="F17" s="2" t="n">
        <v>1</v>
      </c>
      <c r="G17" s="2" t="n">
        <v>0.5</v>
      </c>
      <c r="H17" s="2" t="n">
        <v>1</v>
      </c>
      <c r="I17" s="2" t="n">
        <v>0.5</v>
      </c>
      <c r="J17" s="2" t="n">
        <v>0.75</v>
      </c>
      <c r="K17" s="2" t="n">
        <v>0.5</v>
      </c>
      <c r="L17" s="2" t="inlineStr">
        <is>
          <t>Tool feedback alone does not reliably restore correct trajectory</t>
        </is>
      </c>
      <c r="M17" s="2" t="n">
        <v>0</v>
      </c>
      <c r="N17" s="2" t="inlineStr">
        <is>
          <t>https://arxiv.org/abs/2503.00096</t>
        </is>
      </c>
    </row>
    <row r="18">
      <c r="A18" s="2" t="inlineStr">
        <is>
          <t>T17</t>
        </is>
      </c>
      <c r="B18" s="2" t="inlineStr">
        <is>
          <t>ClaroAI-Bench exposes reproducibility as a dependency chain across data, code, environment, and result</t>
        </is>
      </c>
      <c r="C18" s="2" t="inlineStr">
        <is>
          <t>AI-bio / scientific reproducibility</t>
        </is>
      </c>
      <c r="D18" s="2" t="inlineStr">
        <is>
          <t>dependency-chain / context loss</t>
        </is>
      </c>
      <c r="E18" s="2" t="inlineStr">
        <is>
          <t>Real-paper structured benchmark</t>
        </is>
      </c>
      <c r="F18" s="2" t="n">
        <v>1</v>
      </c>
      <c r="G18" s="2" t="n">
        <v>1</v>
      </c>
      <c r="H18" s="2" t="n">
        <v>1</v>
      </c>
      <c r="I18" s="2" t="n">
        <v>0.5</v>
      </c>
      <c r="J18" s="2" t="n">
        <v>0.875</v>
      </c>
      <c r="K18" s="2" t="n">
        <v>0.5</v>
      </c>
      <c r="L18" s="2" t="inlineStr">
        <is>
          <t>More complete provenance reduces ambiguity and failure</t>
        </is>
      </c>
      <c r="M18" s="2" t="n">
        <v>0</v>
      </c>
      <c r="N18" s="2" t="inlineStr">
        <is>
          <t>https://www.biorxiv.org/content/10.64898/2026.05.08.723611v1</t>
        </is>
      </c>
    </row>
    <row r="19">
      <c r="A19" s="2" t="inlineStr">
        <is>
          <t>T18</t>
        </is>
      </c>
      <c r="B19" s="2" t="inlineStr">
        <is>
          <t>BioXArena shows agent scaffold and domain alter biomedical ML trajectory; no single configuration dominates</t>
        </is>
      </c>
      <c r="C19" s="2" t="inlineStr">
        <is>
          <t>AI-bio / biomedical ML</t>
        </is>
      </c>
      <c r="D19" s="2" t="inlineStr">
        <is>
          <t>configuration sensitivity</t>
        </is>
      </c>
      <c r="E19" s="2" t="inlineStr">
        <is>
          <t>Executable benchmark + ablations</t>
        </is>
      </c>
      <c r="F19" s="2" t="n">
        <v>1</v>
      </c>
      <c r="G19" s="2" t="n">
        <v>0.5</v>
      </c>
      <c r="H19" s="2" t="n">
        <v>1</v>
      </c>
      <c r="I19" s="2" t="n">
        <v>0.5</v>
      </c>
      <c r="J19" s="2" t="n">
        <v>0.75</v>
      </c>
      <c r="K19" s="2" t="n">
        <v>0.5</v>
      </c>
      <c r="L19" s="2" t="inlineStr">
        <is>
          <t>Configuration changes materially alter outcome</t>
        </is>
      </c>
      <c r="M19" s="2" t="n">
        <v>0</v>
      </c>
      <c r="N19" s="2" t="inlineStr">
        <is>
          <t>https://arxiv.org/abs/2605.15766</t>
        </is>
      </c>
    </row>
    <row r="20">
      <c r="A20" s="2" t="inlineStr">
        <is>
          <t>T19</t>
        </is>
      </c>
      <c r="B20" s="2" t="inlineStr">
        <is>
          <t>M3A copilot experiments show domain experts remain critical for methodological guidance and biological synthesis</t>
        </is>
      </c>
      <c r="C20" s="2" t="inlineStr">
        <is>
          <t>AI-bio / multi-omics discovery</t>
        </is>
      </c>
      <c r="D20" s="2" t="inlineStr">
        <is>
          <t>human-AI complementarity</t>
        </is>
      </c>
      <c r="E20" s="2" t="inlineStr">
        <is>
          <t>Real-data comparative evaluation</t>
        </is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0</v>
      </c>
      <c r="L20" s="2" t="inlineStr">
        <is>
          <t>Improves methodological guidance and synthesis according to study findings</t>
        </is>
      </c>
      <c r="M20" s="2" t="n">
        <v>0</v>
      </c>
      <c r="N20" s="2" t="inlineStr">
        <is>
          <t>https://www.biorxiv.org/content/10.64898/2026.06.04.729919v1</t>
        </is>
      </c>
    </row>
    <row r="21">
      <c r="A21" s="2" t="inlineStr">
        <is>
          <t>T20</t>
        </is>
      </c>
      <c r="B21" s="2" t="inlineStr">
        <is>
          <t>PromptBio-Bench performance degrades as bioinformatics task difficulty rises</t>
        </is>
      </c>
      <c r="C21" s="2" t="inlineStr">
        <is>
          <t>AI-bio / bioinformatics</t>
        </is>
      </c>
      <c r="D21" s="2" t="inlineStr">
        <is>
          <t>difficulty/complexity sensitivity</t>
        </is>
      </c>
      <c r="E21" s="2" t="inlineStr">
        <is>
          <t>Executable expert-curated benchmark</t>
        </is>
      </c>
      <c r="F21" s="2" t="n">
        <v>1</v>
      </c>
      <c r="G21" s="2" t="n">
        <v>0.5</v>
      </c>
      <c r="H21" s="2" t="n">
        <v>0.5</v>
      </c>
      <c r="I21" s="2" t="n">
        <v>0</v>
      </c>
      <c r="J21" s="2" t="n">
        <v>0.5</v>
      </c>
      <c r="K21" s="2" t="n">
        <v>1</v>
      </c>
      <c r="L21" s="2" t="inlineStr">
        <is>
          <t>Not directly tested as safety control</t>
        </is>
      </c>
      <c r="M21" s="2" t="n">
        <v>0</v>
      </c>
      <c r="N21" s="2" t="inlineStr">
        <is>
          <t>https://www.biorxiv.org/content/10.64898/2026.05.05.723092v1</t>
        </is>
      </c>
    </row>
    <row r="22">
      <c r="A22" s="2" t="inlineStr">
        <is>
          <t>T21</t>
        </is>
      </c>
      <c r="B22" s="2" t="inlineStr">
        <is>
          <t>Single-cell benchmark shows multi-agent collaboration and self-reflection improve execution</t>
        </is>
      </c>
      <c r="C22" s="2" t="inlineStr">
        <is>
          <t>AI-bio / single-cell omics</t>
        </is>
      </c>
      <c r="D22" s="2" t="inlineStr">
        <is>
          <t>architectural buffering / self-correction</t>
        </is>
      </c>
      <c r="E22" s="2" t="inlineStr">
        <is>
          <t>Benchmark + attribution/ablation analysis</t>
        </is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0</v>
      </c>
      <c r="L22" s="2" t="inlineStr">
        <is>
          <t>Self-reflection and collaboration improve observed task performance</t>
        </is>
      </c>
      <c r="M22" s="2" t="n">
        <v>0</v>
      </c>
      <c r="N22" s="2" t="inlineStr">
        <is>
          <t>https://arxiv.org/abs/2508.13201</t>
        </is>
      </c>
    </row>
    <row r="23">
      <c r="A23" s="2" t="inlineStr">
        <is>
          <t>T22</t>
        </is>
      </c>
      <c r="B23" s="2" t="inlineStr">
        <is>
          <t>Open-Rosalind constrains agent action through explicit tool mediation and trace requirements</t>
        </is>
      </c>
      <c r="C23" s="2" t="inlineStr">
        <is>
          <t>AI-bio / biomedical agents</t>
        </is>
      </c>
      <c r="D23" s="2" t="inlineStr">
        <is>
          <t>control architecture / observability</t>
        </is>
      </c>
      <c r="E23" s="2" t="inlineStr">
        <is>
          <t>System/benchmark evidence</t>
        </is>
      </c>
      <c r="F23" s="2" t="n">
        <v>1</v>
      </c>
      <c r="G23" s="2" t="n">
        <v>1</v>
      </c>
      <c r="H23" s="2" t="n">
        <v>1</v>
      </c>
      <c r="I23" s="2" t="n">
        <v>0.5</v>
      </c>
      <c r="J23" s="2" t="n">
        <v>0.875</v>
      </c>
      <c r="K23" s="2" t="n">
        <v>0.5</v>
      </c>
      <c r="L23" s="2" t="inlineStr">
        <is>
          <t>Designed to improve accountability/traceability; broader harm reduction not established</t>
        </is>
      </c>
      <c r="M23" s="2" t="n">
        <v>0</v>
      </c>
      <c r="N23" s="2" t="inlineStr">
        <is>
          <t>https://www.biorxiv.org/content/10.64898/2026.05.06.722404v1</t>
        </is>
      </c>
    </row>
    <row r="24">
      <c r="A24" s="2" t="inlineStr">
        <is>
          <t>T23</t>
        </is>
      </c>
      <c r="B24" s="2" t="inlineStr">
        <is>
          <t>Autonomous-research frameworks produce convincing plans/manuscripts but fail transition to executable science</t>
        </is>
      </c>
      <c r="C24" s="2" t="inlineStr">
        <is>
          <t>AI for science / computational biology</t>
        </is>
      </c>
      <c r="D24" s="2" t="inlineStr">
        <is>
          <t>claim-execution decoupling</t>
        </is>
      </c>
      <c r="E24" s="2" t="inlineStr">
        <is>
          <t>Direct real-task case study</t>
        </is>
      </c>
      <c r="F24" s="2" t="n">
        <v>1</v>
      </c>
      <c r="G24" s="2" t="n">
        <v>1</v>
      </c>
      <c r="H24" s="2" t="n">
        <v>0.5</v>
      </c>
      <c r="I24" s="2" t="n">
        <v>0</v>
      </c>
      <c r="J24" s="2" t="n">
        <v>0.625</v>
      </c>
      <c r="K24" s="2" t="n">
        <v>1</v>
      </c>
      <c r="L24" s="2" t="inlineStr">
        <is>
          <t>Verification collapses inflated autonomy claim</t>
        </is>
      </c>
      <c r="M24" s="2" t="n">
        <v>0</v>
      </c>
      <c r="N24" s="2" t="inlineStr">
        <is>
          <t>https://www.biorxiv.org/content/10.64898/2026.01.05.697809v1</t>
        </is>
      </c>
    </row>
    <row r="25">
      <c r="A25" s="2" t="inlineStr">
        <is>
          <t>T24</t>
        </is>
      </c>
      <c r="B25" s="2" t="inlineStr">
        <is>
          <t>Compiler-verified biological protocol retains execution semantics across manual and liquid-handler contexts</t>
        </is>
      </c>
      <c r="C25" s="2" t="inlineStr">
        <is>
          <t>AI-bio / laboratory automation</t>
        </is>
      </c>
      <c r="D25" s="2" t="inlineStr">
        <is>
          <t>context preservation / cross-platform execution</t>
        </is>
      </c>
      <c r="E25" s="2" t="inlineStr">
        <is>
          <t>Wet-lab cross-platform validation</t>
        </is>
      </c>
      <c r="F25" s="2" t="n">
        <v>1</v>
      </c>
      <c r="G25" s="2" t="n">
        <v>1</v>
      </c>
      <c r="H25" s="2" t="n">
        <v>1</v>
      </c>
      <c r="I25" s="2" t="n">
        <v>0.5</v>
      </c>
      <c r="J25" s="2" t="n">
        <v>0.875</v>
      </c>
      <c r="K25" s="2" t="n">
        <v>0.5</v>
      </c>
      <c r="L25" s="2" t="inlineStr">
        <is>
          <t>Reduces ambiguity in digital-to-physical handoff</t>
        </is>
      </c>
      <c r="M25" s="2" t="n">
        <v>0</v>
      </c>
      <c r="N25" s="2" t="inlineStr">
        <is>
          <t>https://www.biorxiv.org/content/10.64898/2026.05.05.720956v1</t>
        </is>
      </c>
    </row>
    <row r="26">
      <c r="A26" s="2" t="inlineStr">
        <is>
          <t>T25</t>
        </is>
      </c>
      <c r="B26" s="2" t="inlineStr">
        <is>
          <t>CRISPR-GPT enables junior researchers to execute successful AI-guided gene-editing workflows</t>
        </is>
      </c>
      <c r="C26" s="2" t="inlineStr">
        <is>
          <t>AI-bio / gene editing</t>
        </is>
      </c>
      <c r="D26" s="2" t="inlineStr">
        <is>
          <t>human-AI capability uplift / physical execution</t>
        </is>
      </c>
      <c r="E26" s="2" t="inlineStr">
        <is>
          <t>Benchmark + wet-lab case demonstration</t>
        </is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0</v>
      </c>
      <c r="L26" s="2" t="inlineStr">
        <is>
          <t>Coupled system supports first-attempt success in reported experiments</t>
        </is>
      </c>
      <c r="M26" s="2" t="n">
        <v>0</v>
      </c>
      <c r="N26" s="2" t="inlineStr">
        <is>
          <t>https://www.nature.com/articles/s41551-025-01463-z</t>
        </is>
      </c>
    </row>
    <row r="27">
      <c r="A27" s="2" t="inlineStr">
        <is>
          <t>T26</t>
        </is>
      </c>
      <c r="B27" s="2" t="inlineStr">
        <is>
          <t>AI Co-Scientist hypotheses cross from multi-agent reasoning to wet-lab validation</t>
        </is>
      </c>
      <c r="C27" s="2" t="inlineStr">
        <is>
          <t>AI-bio / biomedical discovery</t>
        </is>
      </c>
      <c r="D27" s="2" t="inlineStr">
        <is>
          <t>digital-to-physical validation</t>
        </is>
      </c>
      <c r="E27" s="2" t="inlineStr">
        <is>
          <t>End-to-end selected-case validation</t>
        </is>
      </c>
      <c r="F27" s="2" t="n">
        <v>1</v>
      </c>
      <c r="G27" s="2" t="n">
        <v>1</v>
      </c>
      <c r="H27" s="2" t="n">
        <v>0.5</v>
      </c>
      <c r="I27" s="2" t="n">
        <v>0.5</v>
      </c>
      <c r="J27" s="2" t="n">
        <v>0.75</v>
      </c>
      <c r="K27" s="2" t="n">
        <v>0.5</v>
      </c>
      <c r="L27" s="2" t="inlineStr">
        <is>
          <t>Reality testing filters some purely computational claims</t>
        </is>
      </c>
      <c r="M27" s="2" t="n">
        <v>0</v>
      </c>
      <c r="N27" s="2" t="inlineStr">
        <is>
          <t>https://www.nature.com/articles/s41586-026-10644-y</t>
        </is>
      </c>
    </row>
    <row r="28">
      <c r="A28" s="2" t="inlineStr">
        <is>
          <t>T27</t>
        </is>
      </c>
      <c r="B28" s="2" t="inlineStr">
        <is>
          <t>BioMedAgent self-evolves tool use and generalizes to external BixBench</t>
        </is>
      </c>
      <c r="C28" s="2" t="inlineStr">
        <is>
          <t>AI-bio / biomedical data analysis</t>
        </is>
      </c>
      <c r="D28" s="2" t="inlineStr">
        <is>
          <t>tool-learning / generalization</t>
        </is>
      </c>
      <c r="E28" s="2" t="inlineStr">
        <is>
          <t>Benchmark + external generalization</t>
        </is>
      </c>
      <c r="F28" s="2" t="n">
        <v>1</v>
      </c>
      <c r="G28" s="2" t="n">
        <v>0.5</v>
      </c>
      <c r="H28" s="2" t="n">
        <v>1</v>
      </c>
      <c r="I28" s="2" t="n">
        <v>1</v>
      </c>
      <c r="J28" s="2" t="n">
        <v>0.875</v>
      </c>
      <c r="K28" s="2" t="n">
        <v>0</v>
      </c>
      <c r="L28" s="2" t="inlineStr">
        <is>
          <t>Reported improved task success and cross-benchmark generalization</t>
        </is>
      </c>
      <c r="M28" s="2" t="n">
        <v>0</v>
      </c>
      <c r="N28" s="2" t="inlineStr">
        <is>
          <t>https://www.nature.com/articles/s41551-026-01634-6</t>
        </is>
      </c>
    </row>
    <row r="29">
      <c r="A29" s="2" t="inlineStr">
        <is>
          <t>T28</t>
        </is>
      </c>
      <c r="B29" s="2" t="inlineStr">
        <is>
          <t>Physical wet-lab RCT attenuates benchmark-based expectations of novice uplift</t>
        </is>
      </c>
      <c r="C29" s="2" t="inlineStr">
        <is>
          <t>AI-bio human uplift</t>
        </is>
      </c>
      <c r="D29" s="2" t="inlineStr">
        <is>
          <t>controlled physical validation / null primary outcome</t>
        </is>
      </c>
      <c r="E29" s="2" t="inlineStr">
        <is>
          <t>Pre-registered physical RCT</t>
        </is>
      </c>
      <c r="F29" s="2" t="n">
        <v>1</v>
      </c>
      <c r="G29" s="2" t="n">
        <v>1</v>
      </c>
      <c r="H29" s="2" t="n">
        <v>0.5</v>
      </c>
      <c r="I29" s="2" t="n">
        <v>1</v>
      </c>
      <c r="J29" s="2" t="n">
        <v>0.875</v>
      </c>
      <c r="K29" s="2" t="n">
        <v>0</v>
      </c>
      <c r="L29" s="2" t="inlineStr">
        <is>
          <t>Revised interpretation: high digital capability did not translate to significant primary-endpoint physical uplift.</t>
        </is>
      </c>
      <c r="M29" s="2" t="n">
        <v>0</v>
      </c>
      <c r="N29" s="2" t="inlineStr">
        <is>
          <t>https://arxiv.org/abs/2602.16703</t>
        </is>
      </c>
    </row>
    <row r="30">
      <c r="A30" s="2" t="inlineStr">
        <is>
          <t>T29</t>
        </is>
      </c>
      <c r="B30" s="2" t="inlineStr">
        <is>
          <t>Long-form in-silico human uplift is large, but standalone models often outperform human-AI teams</t>
        </is>
      </c>
      <c r="C30" s="2" t="inlineStr">
        <is>
          <t>AI-bio human uplift</t>
        </is>
      </c>
      <c r="D30" s="2" t="inlineStr">
        <is>
          <t>controlled human-AI performance trajectory</t>
        </is>
      </c>
      <c r="E30" s="2" t="inlineStr">
        <is>
          <t>Human in-silico uplift study</t>
        </is>
      </c>
      <c r="F30" s="2" t="n">
        <v>1</v>
      </c>
      <c r="G30" s="2" t="n">
        <v>0.5</v>
      </c>
      <c r="H30" s="2" t="n">
        <v>1</v>
      </c>
      <c r="I30" s="2" t="n">
        <v>0.5</v>
      </c>
      <c r="J30" s="2" t="n">
        <v>0.75</v>
      </c>
      <c r="K30" s="2" t="n">
        <v>0.5</v>
      </c>
      <c r="L30" s="2" t="inlineStr">
        <is>
          <t>Shows human-AI composition can both amplify novice capability and dampen standalone model capability.</t>
        </is>
      </c>
      <c r="M30" s="2" t="n">
        <v>0</v>
      </c>
      <c r="N30" s="2" t="inlineStr">
        <is>
          <t>https://arxiv.org/abs/2602.23329</t>
        </is>
      </c>
    </row>
    <row r="31">
      <c r="A31" s="2" t="inlineStr">
        <is>
          <t>T30</t>
        </is>
      </c>
      <c r="B31" s="2" t="inlineStr">
        <is>
          <t>More realistic LABBench2 contexts reduce apparent biology capability</t>
        </is>
      </c>
      <c r="C31" s="2" t="inlineStr">
        <is>
          <t>AI-bio evaluation</t>
        </is>
      </c>
      <c r="D31" s="2" t="inlineStr">
        <is>
          <t>measurement / benchmark redesign</t>
        </is>
      </c>
      <c r="E31" s="2" t="inlineStr">
        <is>
          <t>Cross-benchmark empirical comparison</t>
        </is>
      </c>
      <c r="F31" s="2" t="n">
        <v>1</v>
      </c>
      <c r="G31" s="2" t="n">
        <v>1</v>
      </c>
      <c r="H31" s="2" t="n">
        <v>0.5</v>
      </c>
      <c r="I31" s="2" t="n">
        <v>1</v>
      </c>
      <c r="J31" s="2" t="n">
        <v>0.875</v>
      </c>
      <c r="K31" s="2" t="n">
        <v>0</v>
      </c>
      <c r="L31" s="2" t="inlineStr">
        <is>
          <t>Revised interpretation of scientific capability.</t>
        </is>
      </c>
      <c r="M31" s="2" t="n">
        <v>0</v>
      </c>
      <c r="N31" s="2" t="inlineStr">
        <is>
          <t>https://arxiv.org/abs/2604.09554</t>
        </is>
      </c>
    </row>
    <row r="32">
      <c r="A32" s="2" t="inlineStr">
        <is>
          <t>T31</t>
        </is>
      </c>
      <c r="B32" s="2" t="inlineStr">
        <is>
          <t>Provider filters generate refusal without reliable hazard discrimination</t>
        </is>
      </c>
      <c r="C32" s="2" t="inlineStr">
        <is>
          <t>AI-bio safeguards</t>
        </is>
      </c>
      <c r="D32" s="2" t="inlineStr">
        <is>
          <t>safeguard / proxy-decoupling trajectory</t>
        </is>
      </c>
      <c r="E32" s="2" t="inlineStr">
        <is>
          <t>Controlled safeguard benchmark</t>
        </is>
      </c>
      <c r="F32" s="2" t="n">
        <v>1</v>
      </c>
      <c r="G32" s="2" t="n">
        <v>1</v>
      </c>
      <c r="H32" s="2" t="n">
        <v>1</v>
      </c>
      <c r="I32" s="2" t="n">
        <v>0</v>
      </c>
      <c r="J32" s="2" t="n">
        <v>0.75</v>
      </c>
      <c r="K32" s="2" t="n">
        <v>1</v>
      </c>
      <c r="L32" s="2" t="inlineStr">
        <is>
          <t>Reveals raw refusal as a weak proxy for calibrated safety.</t>
        </is>
      </c>
      <c r="M32" s="2" t="n">
        <v>0</v>
      </c>
      <c r="N32" s="2" t="inlineStr">
        <is>
          <t>https://arxiv.org/abs/2607.05462</t>
        </is>
      </c>
    </row>
    <row r="33">
      <c r="A33" s="2" t="inlineStr">
        <is>
          <t>T32</t>
        </is>
      </c>
      <c r="B33" s="2" t="inlineStr">
        <is>
          <t>RepliBench component success does not compose into credible autonomous self-replication</t>
        </is>
      </c>
      <c r="C33" s="2" t="inlineStr">
        <is>
          <t>AI agent security</t>
        </is>
      </c>
      <c r="D33" s="2" t="inlineStr">
        <is>
          <t>component-to-system bottleneck trajectory</t>
        </is>
      </c>
      <c r="E33" s="2" t="inlineStr">
        <is>
          <t>Agent benchmark</t>
        </is>
      </c>
      <c r="F33" s="2" t="n">
        <v>1</v>
      </c>
      <c r="G33" s="2" t="n">
        <v>1</v>
      </c>
      <c r="H33" s="2" t="n">
        <v>0.5</v>
      </c>
      <c r="I33" s="2" t="n">
        <v>0.5</v>
      </c>
      <c r="J33" s="2" t="n">
        <v>0.75</v>
      </c>
      <c r="K33" s="2" t="n">
        <v>0.5</v>
      </c>
      <c r="L33" s="2" t="inlineStr">
        <is>
          <t>Buffers end-to-end risk despite component capability.</t>
        </is>
      </c>
      <c r="M33" s="2" t="n">
        <v>0</v>
      </c>
      <c r="N33" s="2" t="inlineStr">
        <is>
          <t>https://arxiv.org/abs/2504.18565</t>
        </is>
      </c>
    </row>
    <row r="34">
      <c r="A34" s="2" t="inlineStr">
        <is>
          <t>T33</t>
        </is>
      </c>
      <c r="B34" s="2" t="inlineStr">
        <is>
          <t>PaperBench real-study execution exposes gap between plausible plans and replicated research</t>
        </is>
      </c>
      <c r="C34" s="2" t="inlineStr">
        <is>
          <t>AI scientific autonomy</t>
        </is>
      </c>
      <c r="D34" s="2" t="inlineStr">
        <is>
          <t>long-horizon execution trajectory</t>
        </is>
      </c>
      <c r="E34" s="2" t="inlineStr">
        <is>
          <t>Real-task agent benchmark</t>
        </is>
      </c>
      <c r="F34" s="2" t="n">
        <v>1</v>
      </c>
      <c r="G34" s="2" t="n">
        <v>0.5</v>
      </c>
      <c r="H34" s="2" t="n">
        <v>0.5</v>
      </c>
      <c r="I34" s="2" t="n">
        <v>0.5</v>
      </c>
      <c r="J34" s="2" t="n">
        <v>0.625</v>
      </c>
      <c r="K34" s="2" t="n">
        <v>0.5</v>
      </c>
      <c r="L34" s="2" t="inlineStr">
        <is>
          <t>Limits inference from conceptual fluency to autonomous research.</t>
        </is>
      </c>
      <c r="M34" s="2" t="n">
        <v>0</v>
      </c>
      <c r="N34" s="2" t="inlineStr">
        <is>
          <t>https://openai.com/index/paperbench/</t>
        </is>
      </c>
    </row>
    <row r="35">
      <c r="A35" s="2" t="inlineStr">
        <is>
          <t>T34</t>
        </is>
      </c>
      <c r="B35" s="2" t="inlineStr">
        <is>
          <t>PUC manipulation monitor fails when source context is removed</t>
        </is>
      </c>
      <c r="C35" s="2" t="inlineStr">
        <is>
          <t>AI control / monitoring</t>
        </is>
      </c>
      <c r="D35" s="2" t="inlineStr">
        <is>
          <t>context-loss / monitoring failure</t>
        </is>
      </c>
      <c r="E35" s="2" t="inlineStr">
        <is>
          <t>Preliminary controlled LLM evaluation</t>
        </is>
      </c>
      <c r="F35" s="2" t="n">
        <v>1</v>
      </c>
      <c r="G35" s="2" t="n">
        <v>1</v>
      </c>
      <c r="H35" s="2" t="n">
        <v>0</v>
      </c>
      <c r="I35" s="2" t="n"/>
      <c r="J35" s="2" t="n">
        <v>0.6666666666666666</v>
      </c>
      <c r="K35" s="2" t="n"/>
      <c r="L35" s="2" t="inlineStr">
        <is>
          <t>Shows observability depends on preserving interpretive context.</t>
        </is>
      </c>
      <c r="M35" s="2" t="n">
        <v>0</v>
      </c>
      <c r="N35" s="2" t="inlineStr">
        <is>
          <t>https://arxiv.org/abs/2609.14796</t>
        </is>
      </c>
    </row>
    <row r="36">
      <c r="A36" s="2" t="inlineStr">
        <is>
          <t>T35</t>
        </is>
      </c>
      <c r="B36" s="2" t="inlineStr">
        <is>
          <t>Anthropic preliminary wet-lab pilot finds no uplift because control participants already succeed</t>
        </is>
      </c>
      <c r="C36" s="2" t="inlineStr">
        <is>
          <t>AI-bio human uplift</t>
        </is>
      </c>
      <c r="D36" s="2" t="inlineStr">
        <is>
          <t>negative pilot / baseline sensitivity</t>
        </is>
      </c>
      <c r="E36" s="2" t="inlineStr">
        <is>
          <t>Small exploratory physical study</t>
        </is>
      </c>
      <c r="F36" s="2" t="n">
        <v>1</v>
      </c>
      <c r="G36" s="2" t="n">
        <v>1</v>
      </c>
      <c r="H36" s="2" t="n">
        <v>0.5</v>
      </c>
      <c r="I36" s="2" t="n">
        <v>1</v>
      </c>
      <c r="J36" s="2" t="n">
        <v>0.875</v>
      </c>
      <c r="K36" s="2" t="n">
        <v>0</v>
      </c>
      <c r="L36" s="2" t="inlineStr">
        <is>
          <t>Revises assumption that tacit knowledge is necessarily dominant barrier.</t>
        </is>
      </c>
      <c r="M36" s="2" t="n">
        <v>0</v>
      </c>
      <c r="N36" s="2" t="inlineStr">
        <is>
          <t>https://www.anthropic.com/research/biorisk</t>
        </is>
      </c>
    </row>
    <row r="37">
      <c r="A37" s="2" t="inlineStr">
        <is>
          <t>T36</t>
        </is>
      </c>
      <c r="B37" s="2" t="inlineStr">
        <is>
          <t>Text-based Claude uplift improves plans while critical real-world execution gaps remain</t>
        </is>
      </c>
      <c r="C37" s="2" t="inlineStr">
        <is>
          <t>AI-bio human uplift</t>
        </is>
      </c>
      <c r="D37" s="2" t="inlineStr">
        <is>
          <t>upstream uplift / downstream uncertainty</t>
        </is>
      </c>
      <c r="E37" s="2" t="inlineStr">
        <is>
          <t>Human text uplift trial</t>
        </is>
      </c>
      <c r="F37" s="2" t="n">
        <v>1</v>
      </c>
      <c r="G37" s="2" t="n">
        <v>1</v>
      </c>
      <c r="H37" s="2" t="n">
        <v>0.5</v>
      </c>
      <c r="I37" s="2" t="n">
        <v>1</v>
      </c>
      <c r="J37" s="2" t="n">
        <v>0.875</v>
      </c>
      <c r="K37" s="2" t="n">
        <v>0</v>
      </c>
      <c r="L37" s="2" t="inlineStr">
        <is>
          <t>Raises upstream capability estimate while leaving downstream feasibility unresolved.</t>
        </is>
      </c>
      <c r="M37" s="2" t="n">
        <v>0</v>
      </c>
      <c r="N37" s="2" t="inlineStr">
        <is>
          <t>https://www.anthropic.com/research/biorisk</t>
        </is>
      </c>
    </row>
    <row r="38">
      <c r="A38" s="2" t="inlineStr">
        <is>
          <t>T37</t>
        </is>
      </c>
      <c r="B38" s="2" t="inlineStr">
        <is>
          <t>Human review corrects agentic environmental-health analysis at multiple steps</t>
        </is>
      </c>
      <c r="C38" s="2" t="inlineStr">
        <is>
          <t>human-AI scientific workflow</t>
        </is>
      </c>
      <c r="D38" s="2" t="inlineStr">
        <is>
          <t>human buffering / correction</t>
        </is>
      </c>
      <c r="E38" s="2" t="inlineStr">
        <is>
          <t>Real-domain case study</t>
        </is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0</v>
      </c>
      <c r="L38" s="2" t="inlineStr">
        <is>
          <t>Corrected/recovered</t>
        </is>
      </c>
      <c r="M38" s="2" t="n">
        <v>0</v>
      </c>
      <c r="N38" s="2" t="inlineStr">
        <is>
          <t>https://arxiv.org/abs/2608.06771</t>
        </is>
      </c>
    </row>
    <row r="39">
      <c r="A39" s="2" t="inlineStr">
        <is>
          <t>T38</t>
        </is>
      </c>
      <c r="B39" s="2" t="inlineStr">
        <is>
          <t>Expert consolidation corrects LLM severity inflation in functional hazard assessment</t>
        </is>
      </c>
      <c r="C39" s="2" t="inlineStr">
        <is>
          <t>systems safety</t>
        </is>
      </c>
      <c r="D39" s="2" t="inlineStr">
        <is>
          <t>human buffering / safety-analysis correction</t>
        </is>
      </c>
      <c r="E39" s="2" t="inlineStr">
        <is>
          <t>Controlled case study</t>
        </is>
      </c>
      <c r="F39" s="2" t="n">
        <v>1</v>
      </c>
      <c r="G39" s="2" t="n">
        <v>1</v>
      </c>
      <c r="H39" s="2" t="n">
        <v>0.5</v>
      </c>
      <c r="I39" s="2" t="n">
        <v>1</v>
      </c>
      <c r="J39" s="2" t="n">
        <v>0.875</v>
      </c>
      <c r="K39" s="2" t="n">
        <v>0</v>
      </c>
      <c r="L39" s="2" t="inlineStr">
        <is>
          <t>Corrected/recovered</t>
        </is>
      </c>
      <c r="M39" s="2" t="n">
        <v>0</v>
      </c>
      <c r="N39" s="2" t="inlineStr">
        <is>
          <t>https://doi.org/10.1016/j.rineng.2026.111313</t>
        </is>
      </c>
    </row>
    <row r="40">
      <c r="A40" s="2" t="inlineStr">
        <is>
          <t>T39</t>
        </is>
      </c>
      <c r="B40" s="2" t="inlineStr">
        <is>
          <t>Agent closes a real physical control loop at a synchrotron beamline</t>
        </is>
      </c>
      <c r="C40" s="2" t="inlineStr">
        <is>
          <t>autonomous science</t>
        </is>
      </c>
      <c r="D40" s="2" t="inlineStr">
        <is>
          <t>closed-loop physical adaptation</t>
        </is>
      </c>
      <c r="E40" s="2" t="inlineStr">
        <is>
          <t>Peer-reviewed physical demonstration</t>
        </is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  <c r="K40" s="2" t="n">
        <v>0</v>
      </c>
      <c r="L40" s="2" t="inlineStr">
        <is>
          <t>Iterative improvement</t>
        </is>
      </c>
      <c r="M40" s="2" t="n">
        <v>0</v>
      </c>
      <c r="N40" s="2" t="inlineStr">
        <is>
          <t>https://www.nature.com/articles/s42256-026-01261-5</t>
        </is>
      </c>
    </row>
    <row r="41">
      <c r="A41" s="2" t="inlineStr">
        <is>
          <t>T40</t>
        </is>
      </c>
      <c r="B41" s="2" t="inlineStr">
        <is>
          <t>XZ Utils backdoor exploits trust and fragmented review across a software supply chain</t>
        </is>
      </c>
      <c r="C41" s="2" t="inlineStr">
        <is>
          <t>cybersecurity comparator</t>
        </is>
      </c>
      <c r="D41" s="2" t="inlineStr">
        <is>
          <t>field incident / trust propagation</t>
        </is>
      </c>
      <c r="E41" s="2" t="inlineStr">
        <is>
          <t>Documented field incident</t>
        </is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0</v>
      </c>
      <c r="L41" s="2" t="inlineStr">
        <is>
          <t>buffered/interrupted before wider exploitation</t>
        </is>
      </c>
      <c r="M41" s="2" t="n">
        <v>0</v>
      </c>
      <c r="N41" s="2" t="inlineStr">
        <is>
          <t>https://www.cisa.gov/news-events/alerts/2024/03/29/reported-supply-chain-compromise-affecting-xz-utils-data-compression-library-cve-2024-3094</t>
        </is>
      </c>
    </row>
    <row r="42">
      <c r="A42" s="2" t="inlineStr">
        <is>
          <t>T41</t>
        </is>
      </c>
      <c r="B42" s="2" t="inlineStr">
        <is>
          <t>Target breach shows alerts can exist without producing effective organizational response</t>
        </is>
      </c>
      <c r="C42" s="2" t="inlineStr">
        <is>
          <t>cybersecurity comparator</t>
        </is>
      </c>
      <c r="D42" s="2" t="inlineStr">
        <is>
          <t>field incident / feedback without response</t>
        </is>
      </c>
      <c r="E42" s="2" t="inlineStr">
        <is>
          <t>Documented field incident</t>
        </is>
      </c>
      <c r="F42" s="2" t="n">
        <v>1</v>
      </c>
      <c r="G42" s="2" t="n">
        <v>0.5</v>
      </c>
      <c r="H42" s="2" t="n">
        <v>0.5</v>
      </c>
      <c r="I42" s="2" t="n">
        <v>0</v>
      </c>
      <c r="J42" s="2" t="n">
        <v>0.5</v>
      </c>
      <c r="K42" s="2" t="n">
        <v>1</v>
      </c>
      <c r="L42" s="2" t="inlineStr">
        <is>
          <t>feedback available but not converted into action</t>
        </is>
      </c>
      <c r="M42" s="2" t="n">
        <v>0</v>
      </c>
      <c r="N42" s="2" t="inlineStr">
        <is>
          <t>https://www.commerce.senate.gov/services/files/24d3c229-4f2f-405d-b8db-a3a67f183883</t>
        </is>
      </c>
    </row>
    <row r="43">
      <c r="A43" s="2" t="inlineStr">
        <is>
          <t>T42</t>
        </is>
      </c>
      <c r="B43" s="2" t="inlineStr">
        <is>
          <t>Uplift evidence diverges systematically between in-silico and wet-lab studies</t>
        </is>
      </c>
      <c r="C43" s="2" t="inlineStr">
        <is>
          <t>AI-bio evidence synthesis</t>
        </is>
      </c>
      <c r="D43" s="2" t="inlineStr">
        <is>
          <t>cross-study validation trajectory</t>
        </is>
      </c>
      <c r="E43" s="2" t="inlineStr">
        <is>
          <t>Evidence synthesis / cross-study observation</t>
        </is>
      </c>
      <c r="F43" s="2" t="n">
        <v>1</v>
      </c>
      <c r="G43" s="2" t="n">
        <v>0.5</v>
      </c>
      <c r="H43" s="2" t="n">
        <v>0.5</v>
      </c>
      <c r="I43" s="2" t="n">
        <v>1</v>
      </c>
      <c r="J43" s="2" t="n">
        <v>0.75</v>
      </c>
      <c r="K43" s="2" t="n">
        <v>0</v>
      </c>
      <c r="L43" s="2" t="inlineStr">
        <is>
          <t>Revised interpretation / calls for physical validation</t>
        </is>
      </c>
      <c r="M43" s="2" t="n">
        <v>0</v>
      </c>
      <c r="N43" s="2" t="inlineStr">
        <is>
          <t>https://securebio.org/benchmarks/uplift/</t>
        </is>
      </c>
    </row>
  </sheetData>
  <autoFilter ref="A1:N4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70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Cross-set exploratory analysis — v1.5</t>
        </is>
      </c>
    </row>
    <row r="2">
      <c r="A2" s="11" t="inlineStr">
        <is>
          <t>All metrics are descriptive of the current research corpus. They are hypothesis-generating, not prevalence estimates.</t>
        </is>
      </c>
    </row>
    <row r="3">
      <c r="A3" s="12" t="inlineStr">
        <is>
          <t>Metric</t>
        </is>
      </c>
      <c r="B3" s="12" t="inlineStr">
        <is>
          <t>Formula / value</t>
        </is>
      </c>
      <c r="C3" s="12" t="inlineStr">
        <is>
          <t>Interpretive use</t>
        </is>
      </c>
      <c r="D3" s="12" t="inlineStr"/>
      <c r="E3" s="12" t="inlineStr"/>
      <c r="F3" s="12" t="inlineStr"/>
    </row>
    <row r="4">
      <c r="A4" s="2" t="inlineStr">
        <is>
          <t>Set 1 funding records</t>
        </is>
      </c>
      <c r="B4" s="2">
        <f>COUNTA('Set1_Funding_Pilot_v1_1'!A2:A1000)</f>
        <v/>
      </c>
      <c r="C4" s="2" t="inlineStr">
        <is>
          <t>Size of funding/problem-framing corpus</t>
        </is>
      </c>
    </row>
    <row r="5">
      <c r="A5" s="2" t="inlineStr">
        <is>
          <t>Set 2 evaluation records</t>
        </is>
      </c>
      <c r="B5" s="2">
        <f>COUNTA('CrossSet_Set2_Coding'!A2:A1000)</f>
        <v/>
      </c>
      <c r="C5" s="2" t="inlineStr">
        <is>
          <t>Size of evaluation corpus</t>
        </is>
      </c>
    </row>
    <row r="6">
      <c r="A6" s="2" t="inlineStr">
        <is>
          <t>Set 3 trajectory records</t>
        </is>
      </c>
      <c r="B6" s="2">
        <f>COUNTA('CrossSet_Set3_Coding'!A2:A1000)</f>
        <v/>
      </c>
      <c r="C6" s="2" t="inlineStr">
        <is>
          <t>Size of trajectory corpus</t>
        </is>
      </c>
    </row>
    <row r="7">
      <c r="A7" s="2" t="inlineStr">
        <is>
          <t>Set 2 high/very-high boundary sensitivity share</t>
        </is>
      </c>
      <c r="B7" s="13">
        <f>COUNTIF('CrossSet_Set2_Coding'!H2:H1000,"&gt;=3")/COUNT('CrossSet_Set2_Coding'!H2:H1000)</f>
        <v/>
      </c>
      <c r="C7" s="2" t="inlineStr">
        <is>
          <t>How often conclusions are judged sensitive to system boundary</t>
        </is>
      </c>
    </row>
    <row r="8">
      <c r="A8" s="2" t="inlineStr">
        <is>
          <t>Set 2 predictive validity unknown/low share</t>
        </is>
      </c>
      <c r="B8" s="13">
        <f>COUNTIF('CrossSet_Set2_Coding'!K2:K1000,"&lt;=1")/COUNT('CrossSet_Set2_Coding'!K2:K1000)</f>
        <v/>
      </c>
      <c r="C8" s="2" t="inlineStr">
        <is>
          <t>How often downstream predictive linkage is absent or weak</t>
        </is>
      </c>
    </row>
    <row r="9">
      <c r="A9" s="2" t="inlineStr">
        <is>
          <t>Set 2 mean claim–demonstration distance</t>
        </is>
      </c>
      <c r="B9" s="14">
        <f>AVERAGE('CrossSet_Set2_Coding'!G2:G1000)</f>
        <v/>
      </c>
      <c r="C9" s="2" t="inlineStr">
        <is>
          <t>Average inferential distance from demonstrated result to security claim</t>
        </is>
      </c>
    </row>
    <row r="10">
      <c r="A10" s="2" t="inlineStr">
        <is>
          <t>Set 2 mean claim distance — model-only</t>
        </is>
      </c>
      <c r="B10" s="14">
        <f>AVERAGEIF('CrossSet_Set2_Coding'!D2:D1000,1,'CrossSet_Set2_Coding'!G2:G1000)</f>
        <v/>
      </c>
      <c r="C10" s="2" t="inlineStr">
        <is>
          <t>Compare inferential distance across configurations</t>
        </is>
      </c>
    </row>
    <row r="11">
      <c r="A11" s="2" t="inlineStr">
        <is>
          <t>Set 2 mean claim distance — agent/tools</t>
        </is>
      </c>
      <c r="B11" s="14">
        <f>AVERAGEIF('CrossSet_Set2_Coding'!D2:D1000,2,'CrossSet_Set2_Coding'!G2:G1000)</f>
        <v/>
      </c>
      <c r="C11" s="2" t="inlineStr">
        <is>
          <t>Compare inferential distance across configurations</t>
        </is>
      </c>
    </row>
    <row r="12">
      <c r="A12" s="2" t="inlineStr">
        <is>
          <t>Set 2 mean claim distance — human-AI</t>
        </is>
      </c>
      <c r="B12" s="14">
        <f>AVERAGEIF('CrossSet_Set2_Coding'!D2:D1000,3,'CrossSet_Set2_Coding'!G2:G1000)</f>
        <v/>
      </c>
      <c r="C12" s="2" t="inlineStr">
        <is>
          <t>Compare inferential distance across configurations</t>
        </is>
      </c>
    </row>
    <row r="13">
      <c r="A13" s="2" t="inlineStr">
        <is>
          <t>Set 2 mean claim distance — physical</t>
        </is>
      </c>
      <c r="B13" s="14">
        <f>AVERAGEIF('CrossSet_Set2_Coding'!D2:D1000,4,'CrossSet_Set2_Coding'!G2:G1000)</f>
        <v/>
      </c>
      <c r="C13" s="2" t="inlineStr">
        <is>
          <t>Compare inferential distance across configurations</t>
        </is>
      </c>
    </row>
    <row r="14">
      <c r="A14" s="2" t="inlineStr">
        <is>
          <t>Set 2 mean predictive validity — model-only</t>
        </is>
      </c>
      <c r="B14" s="14">
        <f>AVERAGEIF('CrossSet_Set2_Coding'!D2:D1000,1,'CrossSet_Set2_Coding'!K2:K1000)</f>
        <v/>
      </c>
      <c r="C14" s="2" t="inlineStr">
        <is>
          <t>Does validation strengthen as system boundary expands?</t>
        </is>
      </c>
    </row>
    <row r="15">
      <c r="A15" s="2" t="inlineStr">
        <is>
          <t>Set 2 mean predictive validity — physical</t>
        </is>
      </c>
      <c r="B15" s="14">
        <f>AVERAGEIF('CrossSet_Set2_Coding'!D2:D1000,4,'CrossSet_Set2_Coding'!K2:K1000)</f>
        <v/>
      </c>
      <c r="C15" s="2" t="inlineStr">
        <is>
          <t>Does validation strengthen as system boundary expands?</t>
        </is>
      </c>
    </row>
    <row r="16">
      <c r="A16" s="2" t="inlineStr">
        <is>
          <t>Set 2 correlation: configuration level vs predictive validity</t>
        </is>
      </c>
      <c r="B16" s="14">
        <f>CORREL('CrossSet_Set2_Coding'!D2:D43,'CrossSet_Set2_Coding'!K2:K43)</f>
        <v/>
      </c>
      <c r="C16" s="2" t="inlineStr">
        <is>
          <t>Exploratory association only; current sample</t>
        </is>
      </c>
    </row>
    <row r="17">
      <c r="A17" s="2" t="inlineStr">
        <is>
          <t>Set 2 correlation: configuration level vs claim distance</t>
        </is>
      </c>
      <c r="B17" s="14">
        <f>CORREL('CrossSet_Set2_Coding'!D2:D43,'CrossSet_Set2_Coding'!G2:G43)</f>
        <v/>
      </c>
      <c r="C17" s="2" t="inlineStr">
        <is>
          <t>Negative value would suggest closer claim/evidence alignment at broader configurations</t>
        </is>
      </c>
    </row>
    <row r="18">
      <c r="A18" s="2" t="inlineStr">
        <is>
          <t>Set 3 trajectories with feedback available</t>
        </is>
      </c>
      <c r="B18" s="13">
        <f>COUNTIF('CrossSet_Set3_Coding'!F2:F1000,1)/COUNT('CrossSet_Set3_Coding'!F2:F1000)</f>
        <v/>
      </c>
      <c r="C18" s="2" t="inlineStr">
        <is>
          <t>Availability of a return signal</t>
        </is>
      </c>
    </row>
    <row r="19">
      <c r="A19" s="2" t="inlineStr">
        <is>
          <t>Set 3 trajectories with update observed</t>
        </is>
      </c>
      <c r="B19" s="13">
        <f>COUNTIF('CrossSet_Set3_Coding'!I2:I1000,1)/COUNT('CrossSet_Set3_Coding'!I2:I1000)</f>
        <v/>
      </c>
      <c r="C19" s="2" t="inlineStr">
        <is>
          <t>Whether feedback was converted into actual update</t>
        </is>
      </c>
    </row>
    <row r="20">
      <c r="A20" s="2" t="inlineStr">
        <is>
          <t>Set 3 mean feedback→update gap</t>
        </is>
      </c>
      <c r="B20" s="2">
        <f>AVERAGE('CrossSet_Set3_Coding'!K2:K1000)</f>
        <v/>
      </c>
      <c r="C20" s="2" t="inlineStr">
        <is>
          <t>Positive gap indicates feedback exists more often than update occurs</t>
        </is>
      </c>
    </row>
    <row r="21">
      <c r="A21" s="2" t="inlineStr">
        <is>
          <t>Set 3 mean feedback chain score</t>
        </is>
      </c>
      <c r="B21" s="2">
        <f>AVERAGE('CrossSet_Set3_Coding'!J2:J1000)</f>
        <v/>
      </c>
      <c r="C21" s="2" t="inlineStr">
        <is>
          <t>Overall completeness of feedback→interpretation→capacity→update chain</t>
        </is>
      </c>
    </row>
    <row r="22"/>
    <row r="23"/>
    <row r="24"/>
    <row r="25">
      <c r="A25" s="12" t="inlineStr">
        <is>
          <t>Configuration group</t>
        </is>
      </c>
      <c r="B25" s="12" t="inlineStr">
        <is>
          <t>Count</t>
        </is>
      </c>
      <c r="C25" s="12" t="inlineStr">
        <is>
          <t>Mean predictive validity</t>
        </is>
      </c>
      <c r="D25" s="12" t="inlineStr">
        <is>
          <t>Mean claim distance</t>
        </is>
      </c>
    </row>
    <row r="26">
      <c r="A26" t="inlineStr">
        <is>
          <t>Model-only / bounded</t>
        </is>
      </c>
      <c r="B26">
        <f>COUNTIF('CrossSet_Set2_Coding'!D2:D1000,1)</f>
        <v/>
      </c>
      <c r="C26">
        <f>AVERAGEIF('CrossSet_Set2_Coding'!D2:D1000,1,'CrossSet_Set2_Coding'!K2:K1000)</f>
        <v/>
      </c>
      <c r="D26">
        <f>AVERAGEIF('CrossSet_Set2_Coding'!D2:D1000,1,'CrossSet_Set2_Coding'!G2:G1000)</f>
        <v/>
      </c>
    </row>
    <row r="27">
      <c r="A27" t="inlineStr">
        <is>
          <t>Agent / tools / composed digital</t>
        </is>
      </c>
      <c r="B27">
        <f>COUNTIF('CrossSet_Set2_Coding'!D2:D1000,2)</f>
        <v/>
      </c>
      <c r="C27">
        <f>AVERAGEIF('CrossSet_Set2_Coding'!D2:D1000,2,'CrossSet_Set2_Coding'!K2:K1000)</f>
        <v/>
      </c>
      <c r="D27">
        <f>AVERAGEIF('CrossSet_Set2_Coding'!D2:D1000,2,'CrossSet_Set2_Coding'!G2:G1000)</f>
        <v/>
      </c>
    </row>
    <row r="28">
      <c r="A28" t="inlineStr">
        <is>
          <t>Human–AI workflow</t>
        </is>
      </c>
      <c r="B28">
        <f>COUNTIF('CrossSet_Set2_Coding'!D2:D1000,3)</f>
        <v/>
      </c>
      <c r="C28">
        <f>AVERAGEIF('CrossSet_Set2_Coding'!D2:D1000,3,'CrossSet_Set2_Coding'!K2:K1000)</f>
        <v/>
      </c>
      <c r="D28">
        <f>AVERAGEIF('CrossSet_Set2_Coding'!D2:D1000,3,'CrossSet_Set2_Coding'!G2:G1000)</f>
        <v/>
      </c>
    </row>
    <row r="29">
      <c r="A29" t="inlineStr">
        <is>
          <t>Physical / wet-lab / instrumented</t>
        </is>
      </c>
      <c r="B29">
        <f>COUNTIF('CrossSet_Set2_Coding'!D2:D1000,4)</f>
        <v/>
      </c>
      <c r="C29">
        <f>AVERAGEIF('CrossSet_Set2_Coding'!D2:D1000,4,'CrossSet_Set2_Coding'!K2:K1000)</f>
        <v/>
      </c>
      <c r="D29">
        <f>AVERAGEIF('CrossSet_Set2_Coding'!D2:D1000,4,'CrossSet_Set2_Coding'!G2:G1000)</f>
        <v/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5" customWidth="1" min="2" max="2"/>
    <col width="60" customWidth="1" min="3" max="3"/>
    <col width="55" customWidth="1" min="4" max="4"/>
  </cols>
  <sheetData>
    <row r="1">
      <c r="A1" s="6" t="inlineStr">
        <is>
          <t>Finding / hypothesis</t>
        </is>
      </c>
      <c r="B1" s="6" t="inlineStr">
        <is>
          <t>Cross-set evidence</t>
        </is>
      </c>
      <c r="C1" s="6" t="inlineStr">
        <is>
          <t>Interpretation</t>
        </is>
      </c>
      <c r="D1" s="6" t="inlineStr">
        <is>
          <t>What would falsify / weaken it</t>
        </is>
      </c>
    </row>
    <row r="2">
      <c r="A2" s="2" t="inlineStr">
        <is>
          <t>1. System boundary is often outcome-determining</t>
        </is>
      </c>
      <c r="B2" s="2" t="inlineStr">
        <is>
          <t>Set 2 contains many high-boundary-sensitivity evaluations; model-only, agentic, human-AI, and physical studies frequently yield different conclusions about capability.</t>
        </is>
      </c>
      <c r="C2" s="2" t="inlineStr">
        <is>
          <t>Capability and safety are properties of configured systems, not reliably inferable from model-only results.</t>
        </is>
      </c>
      <c r="D2" s="2" t="inlineStr">
        <is>
          <t>A larger representative sample in which model-only results strongly and consistently predict workflow/physical outcomes.</t>
        </is>
      </c>
    </row>
    <row r="3">
      <c r="A3" s="2" t="inlineStr">
        <is>
          <t>2. Predictive validity is the weakest evidentiary link</t>
        </is>
      </c>
      <c r="B3" s="2" t="inlineStr">
        <is>
          <t>Construct validity is often moderate/high while predictive validity is frequently unknown or low; physical validation closes more of the chain in selected studies.</t>
        </is>
      </c>
      <c r="C3" s="2" t="inlineStr">
        <is>
          <t>The field often knows what a benchmark measures locally better than whether it predicts downstream security consequences.</t>
        </is>
      </c>
      <c r="D3" s="2" t="inlineStr">
        <is>
          <t>Prospective studies showing benchmark scores robustly forecast later workflow, deployment, or security outcomes across settings.</t>
        </is>
      </c>
    </row>
    <row r="4">
      <c r="A4" s="2" t="inlineStr">
        <is>
          <t>3. Claim–evidence distance tends to shrink as evaluations approach real workflows</t>
        </is>
      </c>
      <c r="B4" s="2" t="inlineStr">
        <is>
          <t>Physical and human/workflow studies often make more bounded claims, while model-only studies more often require multiple inferential steps to reach security relevance.</t>
        </is>
      </c>
      <c r="C4" s="2" t="inlineStr">
        <is>
          <t>Security inference should explicitly report the distance from measured endpoint to claimed consequence.</t>
        </is>
      </c>
      <c r="D4" s="2" t="inlineStr">
        <is>
          <t>No association after independent recoding and representative sampling.</t>
        </is>
      </c>
    </row>
    <row r="5">
      <c r="A5" s="2" t="inlineStr">
        <is>
          <t>4. Feedback is necessary but not sufficient for learning</t>
        </is>
      </c>
      <c r="B5" s="2" t="inlineStr">
        <is>
          <t>Set 3 frequently contains feedback even when an update is partial, absent, delayed, or occurs only at evaluator/research-program level.</t>
        </is>
      </c>
      <c r="C5" s="2" t="inlineStr">
        <is>
          <t>Feedback should be decomposed into availability, interpretability, authority/capacity to act, update, and propagation.</t>
        </is>
      </c>
      <c r="D5" s="2" t="inlineStr">
        <is>
          <t>Trajectory data showing that feedback availability alone strongly predicts successful update/recovery.</t>
        </is>
      </c>
    </row>
    <row r="6">
      <c r="A6" s="2" t="inlineStr">
        <is>
          <t>5. Human-in-the-loop is not a stable safety category</t>
        </is>
      </c>
      <c r="B6" s="2" t="inlineStr">
        <is>
          <t>Across Set 2/3, humans correct AI, degrade correct AI outputs, authorize consequential actions, fail to act on alerts, and add missing domain context.</t>
        </is>
      </c>
      <c r="C6" s="2" t="inlineStr">
        <is>
          <t>Human contribution is relational: expertise, context, workload, timing, and authority matter more than presence/absence.</t>
        </is>
      </c>
      <c r="D6" s="2" t="inlineStr">
        <is>
          <t>Studies showing robust safety benefit simply from adding any human regardless of role/context.</t>
        </is>
      </c>
    </row>
    <row r="7">
      <c r="A7" s="2" t="inlineStr">
        <is>
          <t>6. Composition can amplify, buffer, or block capability</t>
        </is>
      </c>
      <c r="B7" s="2" t="inlineStr">
        <is>
          <t>Agent/tool/harness composition sometimes increases capability, sometimes introduces failure modes, and sometimes external infrastructure blocks end-to-end completion.</t>
        </is>
      </c>
      <c r="C7" s="2" t="inlineStr">
        <is>
          <t>Composition is not monotonically risk-increasing; relationships can be capability-producing or security-producing.</t>
        </is>
      </c>
      <c r="D7" s="2" t="inlineStr">
        <is>
          <t>A broader corpus showing composition almost always increases capability/risk in one direction.</t>
        </is>
      </c>
    </row>
    <row r="8">
      <c r="A8" s="2" t="inlineStr">
        <is>
          <t>7. Funding problem frames are upstream inputs to what becomes measurable</t>
        </is>
      </c>
      <c r="B8" s="2" t="inlineStr">
        <is>
          <t>Set 1 RFPs/programs specify favored threats, constructs and evidence types; Set 2 outputs frequently instantiate those priorities.</t>
        </is>
      </c>
      <c r="C8" s="2" t="inlineStr">
        <is>
          <t>Funding agendas can shape the measurement landscape without implying improper influence or invalid science.</t>
        </is>
      </c>
      <c r="D8" s="2" t="inlineStr">
        <is>
          <t>Weak correspondence between funder problem frames and funded constructs after systematic coding.</t>
        </is>
      </c>
    </row>
    <row r="9">
      <c r="A9" s="2" t="inlineStr">
        <is>
          <t>8. Negative and null results are high-information cases</t>
        </is>
      </c>
      <c r="B9" s="2" t="inlineStr">
        <is>
          <t>Set 2/3 include failed transfer to physical execution, end-to-end failures despite component success, and null human-uplift results.</t>
        </is>
      </c>
      <c r="C9" s="2" t="inlineStr">
        <is>
          <t>Failure points identify hidden constraints and buffering relationships; they should be treated as mechanistic evidence rather than disappointing outcomes.</t>
        </is>
      </c>
      <c r="D9" s="2" t="inlineStr">
        <is>
          <t>Negative results fail to reveal recurrent relationship-level bottlenecks across larger samples.</t>
        </is>
      </c>
    </row>
  </sheetData>
  <autoFilter ref="A1:D9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0" customWidth="1" min="3" max="3"/>
    <col width="80" customWidth="1" min="4" max="4"/>
  </cols>
  <sheetData>
    <row r="1">
      <c r="A1" s="6" t="inlineStr">
        <is>
          <t>ID</t>
        </is>
      </c>
      <c r="B1" s="6" t="inlineStr">
        <is>
          <t>Testable question</t>
        </is>
      </c>
      <c r="C1" s="6" t="inlineStr">
        <is>
          <t>Primary sets</t>
        </is>
      </c>
      <c r="D1" s="6" t="inlineStr">
        <is>
          <t>Suggested analysis / next data need</t>
        </is>
      </c>
    </row>
    <row r="2">
      <c r="A2" s="2" t="inlineStr">
        <is>
          <t>Q1</t>
        </is>
      </c>
      <c r="B2" s="2" t="inlineStr">
        <is>
          <t>Does evaluation configuration level predict lower claim–demonstration distance?</t>
        </is>
      </c>
      <c r="C2" s="2" t="inlineStr">
        <is>
          <t>Set 2</t>
        </is>
      </c>
      <c r="D2" s="2" t="inlineStr">
        <is>
          <t>Independent recoding of claim distance; ordinal regression / rank correlation; stratify by domain and year.</t>
        </is>
      </c>
    </row>
    <row r="3">
      <c r="A3" s="2" t="inlineStr">
        <is>
          <t>Q2</t>
        </is>
      </c>
      <c r="B3" s="2" t="inlineStr">
        <is>
          <t>Does physical validation increase predictive-validity evidence relative to model-only or in-silico studies?</t>
        </is>
      </c>
      <c r="C3" s="2" t="inlineStr">
        <is>
          <t>Set 2</t>
        </is>
      </c>
      <c r="D3" s="2" t="inlineStr">
        <is>
          <t>Compare coded predictive validity by configuration/physical-validation role; avoid treating physical involvement as validation.</t>
        </is>
      </c>
    </row>
    <row r="4">
      <c r="A4" s="2" t="inlineStr">
        <is>
          <t>Q3</t>
        </is>
      </c>
      <c r="B4" s="2" t="inlineStr">
        <is>
          <t>Which relational variables explain when component capability survives into end-to-end workflow capability?</t>
        </is>
      </c>
      <c r="C4" s="2" t="inlineStr">
        <is>
          <t>Set 2 + Set 3</t>
        </is>
      </c>
      <c r="D4" s="2" t="inlineStr">
        <is>
          <t>Matched case studies; code tool access, permissions, context/provenance, human expertise, external infrastructure and feedback loops.</t>
        </is>
      </c>
    </row>
    <row r="5">
      <c r="A5" s="2" t="inlineStr">
        <is>
          <t>Q4</t>
        </is>
      </c>
      <c r="B5" s="2" t="inlineStr">
        <is>
          <t>When feedback exists, what predicts whether an update actually occurs?</t>
        </is>
      </c>
      <c r="C5" s="2" t="inlineStr">
        <is>
          <t>Set 3</t>
        </is>
      </c>
      <c r="D5" s="2" t="inlineStr">
        <is>
          <t>Model update_observed as function of interpretability, update capacity/authority, reversibility, and trajectory class.</t>
        </is>
      </c>
    </row>
    <row r="6">
      <c r="A6" s="2" t="inlineStr">
        <is>
          <t>Q5</t>
        </is>
      </c>
      <c r="B6" s="2" t="inlineStr">
        <is>
          <t>Do funder problem frames predict the constructs and proxies that later dominate evaluations?</t>
        </is>
      </c>
      <c r="C6" s="2" t="inlineStr">
        <is>
          <t>Set 1 + Set 2</t>
        </is>
      </c>
      <c r="D6" s="2" t="inlineStr">
        <is>
          <t>Build explicit funder→award→output links and code RFP themes; network/temporal analysis.</t>
        </is>
      </c>
    </row>
    <row r="7">
      <c r="A7" s="2" t="inlineStr">
        <is>
          <t>Q6</t>
        </is>
      </c>
      <c r="B7" s="2" t="inlineStr">
        <is>
          <t>Are null/negative results more likely to expose relational bottlenecks than positive benchmark results?</t>
        </is>
      </c>
      <c r="C7" s="2" t="inlineStr">
        <is>
          <t>Set 2 + Set 3</t>
        </is>
      </c>
      <c r="D7" s="2" t="inlineStr">
        <is>
          <t>Code result polarity and whether paper identifies concrete interface/bottleneck; compare proportions.</t>
        </is>
      </c>
    </row>
    <row r="8">
      <c r="A8" s="2" t="inlineStr">
        <is>
          <t>Q7</t>
        </is>
      </c>
      <c r="B8" s="2" t="inlineStr">
        <is>
          <t>Do model-only benchmarks predict physical/human uplift when both are available for the same capability area?</t>
        </is>
      </c>
      <c r="C8" s="2" t="inlineStr">
        <is>
          <t>Set 2</t>
        </is>
      </c>
      <c r="D8" s="2" t="inlineStr">
        <is>
          <t>Construct matched benchmark→workflow pairs rather than broad cross-sectional correlation.</t>
        </is>
      </c>
    </row>
    <row r="9">
      <c r="A9" s="2" t="inlineStr">
        <is>
          <t>Q8</t>
        </is>
      </c>
      <c r="B9" s="2" t="inlineStr">
        <is>
          <t>Which security controls function as buffering relationships rather than component barriers?</t>
        </is>
      </c>
      <c r="C9" s="2" t="inlineStr">
        <is>
          <t>Set 3</t>
        </is>
      </c>
      <c r="D9" s="2" t="inlineStr">
        <is>
          <t>Identify where external infrastructure, humans, screening, authorization or provenance interrupts propagation; compare with failed controls.</t>
        </is>
      </c>
    </row>
    <row r="10">
      <c r="A10" s="2" t="inlineStr">
        <is>
          <t>Q9</t>
        </is>
      </c>
      <c r="B10" s="2" t="inlineStr">
        <is>
          <t>How often do security claims depend on assumptions outside the measured system boundary?</t>
        </is>
      </c>
      <c r="C10" s="2" t="inlineStr">
        <is>
          <t>Set 1 + Set 2</t>
        </is>
      </c>
      <c r="D10" s="2" t="inlineStr">
        <is>
          <t>Explicitly enumerate unmeasured theory-of-change arrows and code as demonstrated/external/inferred/assumed/unknown.</t>
        </is>
      </c>
    </row>
    <row r="11">
      <c r="A11" s="2" t="inlineStr">
        <is>
          <t>Q10</t>
        </is>
      </c>
      <c r="B11" s="2" t="inlineStr">
        <is>
          <t>Does the field increasingly move from model-level to workflow/physical evidence over time?</t>
        </is>
      </c>
      <c r="C11" s="2" t="inlineStr">
        <is>
          <t>Set 1 + Set 2</t>
        </is>
      </c>
      <c r="D11" s="2" t="inlineStr">
        <is>
          <t>Temporal trend by year and configuration class; distinguish announced prospective work from completed evidence.</t>
        </is>
      </c>
    </row>
  </sheetData>
  <autoFilter ref="A1:D1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6" t="inlineStr">
        <is>
          <t>Field</t>
        </is>
      </c>
      <c r="B1" s="6" t="inlineStr">
        <is>
          <t>Definition / coding rule</t>
        </is>
      </c>
    </row>
    <row r="2">
      <c r="A2" s="2" t="inlineStr">
        <is>
          <t>Comparator domain</t>
        </is>
      </c>
      <c r="B2" s="2" t="inlineStr">
        <is>
          <t>One of six external traditions: biosafety/biosecurity; safety engineering/human factors; empirical cybersecurity; bioinformatics/data quality; metascience/benchmark validity; ordinary successful biology.</t>
        </is>
      </c>
    </row>
    <row r="3">
      <c r="A3" s="2" t="inlineStr">
        <is>
          <t>System boundary</t>
        </is>
      </c>
      <c r="B3" s="2" t="inlineStr">
        <is>
          <t>Primary boundary used by source: component, workflow, system, organization, ecosystem/value chain.</t>
        </is>
      </c>
    </row>
    <row r="4">
      <c r="A4" s="2" t="inlineStr">
        <is>
          <t>Primary construct</t>
        </is>
      </c>
      <c r="B4" s="2" t="inlineStr">
        <is>
          <t>What the source is actually trying to understand or improve.</t>
        </is>
      </c>
    </row>
    <row r="5">
      <c r="A5" s="2" t="inlineStr">
        <is>
          <t>Evidence type</t>
        </is>
      </c>
      <c r="B5" s="2" t="inlineStr">
        <is>
          <t>Guidance, review, field telemetry, incident corpus, controlled experiment, physical workflow, mixed-methods implementation, etc.</t>
        </is>
      </c>
    </row>
    <row r="6">
      <c r="A6" s="2" t="inlineStr">
        <is>
          <t>Failure/safety model</t>
        </is>
      </c>
      <c r="B6" s="2" t="inlineStr">
        <is>
          <t>How harm or reliability is conceptualized: component failure, systemic control, propagation, near-miss learning, resilience, measurement validity, etc.</t>
        </is>
      </c>
    </row>
    <row r="7">
      <c r="A7" s="2" t="inlineStr">
        <is>
          <t>Near-miss role</t>
        </is>
      </c>
      <c r="B7" s="2" t="inlineStr">
        <is>
          <t>Explicit if near misses/minor incidents are treated as evidence; implicit if analogous weak signals are used; no/NA otherwise.</t>
        </is>
      </c>
    </row>
    <row r="8">
      <c r="A8" s="2" t="inlineStr">
        <is>
          <t>Human role</t>
        </is>
      </c>
      <c r="B8" s="2" t="inlineStr">
        <is>
          <t>Functional role of people in the system rather than binary human-in-loop status.</t>
        </is>
      </c>
    </row>
    <row r="9">
      <c r="A9" s="2" t="inlineStr">
        <is>
          <t>Feedback/update</t>
        </is>
      </c>
      <c r="B9" s="2" t="inlineStr">
        <is>
          <t>Whether the source explicitly distinguishes return signals and system change/learning.</t>
        </is>
      </c>
    </row>
    <row r="10">
      <c r="A10" s="2" t="inlineStr">
        <is>
          <t>Context/provenance importance</t>
        </is>
      </c>
      <c r="B10" s="2" t="inlineStr">
        <is>
          <t>Low / medium / high / very high, based on whether interpretation depends materially on metadata, environment, history, or provenance.</t>
        </is>
      </c>
    </row>
    <row r="11">
      <c r="A11" s="2" t="inlineStr">
        <is>
          <t>Field/physical grounding</t>
        </is>
      </c>
      <c r="B11" s="2" t="inlineStr">
        <is>
          <t>Whether evidence comes from deployed systems, real incidents, physical experiments, or operational implementation.</t>
        </is>
      </c>
    </row>
    <row r="12">
      <c r="A12" s="2" t="inlineStr">
        <is>
          <t>Relationship emphasis</t>
        </is>
      </c>
      <c r="B12" s="2" t="inlineStr">
        <is>
          <t>Whether interfaces/dependencies among components are explicitly part of the explanation.</t>
        </is>
      </c>
    </row>
    <row r="13">
      <c r="A13" s="2" t="inlineStr">
        <is>
          <t>Comparator insight</t>
        </is>
      </c>
      <c r="B13" s="2" t="inlineStr">
        <is>
          <t>What this mature/adjacent field contributes to the AI-security comparison.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8" customWidth="1" min="3" max="3"/>
    <col width="9" customWidth="1" min="4" max="4"/>
    <col width="24" customWidth="1" min="5" max="5"/>
    <col width="34" customWidth="1" min="6" max="6"/>
    <col width="24" customWidth="1" min="7" max="7"/>
    <col width="40" customWidth="1" min="8" max="8"/>
    <col width="30" customWidth="1" min="9" max="9"/>
    <col width="30" customWidth="1" min="10" max="10"/>
    <col width="16" customWidth="1" min="11" max="11"/>
    <col width="38" customWidth="1" min="12" max="12"/>
    <col width="38" customWidth="1" min="13" max="13"/>
    <col width="18" customWidth="1" min="14" max="14"/>
    <col width="20" customWidth="1" min="15" max="15"/>
    <col width="18" customWidth="1" min="16" max="16"/>
    <col width="60" customWidth="1" min="17" max="17"/>
    <col width="50" customWidth="1" min="18" max="18"/>
    <col width="50" customWidth="1" min="19" max="19"/>
    <col width="18" customWidth="1" min="20" max="20"/>
    <col width="62" customWidth="1" min="21" max="21"/>
  </cols>
  <sheetData>
    <row r="1">
      <c r="A1" s="6" t="inlineStr">
        <is>
          <t>ID</t>
        </is>
      </c>
      <c r="B1" s="6" t="inlineStr">
        <is>
          <t>Comparator domain</t>
        </is>
      </c>
      <c r="C1" s="6" t="inlineStr">
        <is>
          <t>Source / title</t>
        </is>
      </c>
      <c r="D1" s="6" t="inlineStr">
        <is>
          <t>Year</t>
        </is>
      </c>
      <c r="E1" s="6" t="inlineStr">
        <is>
          <t>Source type</t>
        </is>
      </c>
      <c r="F1" s="6" t="inlineStr">
        <is>
          <t>Unit / setting</t>
        </is>
      </c>
      <c r="G1" s="6" t="inlineStr">
        <is>
          <t>System boundary</t>
        </is>
      </c>
      <c r="H1" s="6" t="inlineStr">
        <is>
          <t>Primary construct</t>
        </is>
      </c>
      <c r="I1" s="6" t="inlineStr">
        <is>
          <t>Evidence type</t>
        </is>
      </c>
      <c r="J1" s="6" t="inlineStr">
        <is>
          <t>Failure / safety model</t>
        </is>
      </c>
      <c r="K1" s="6" t="inlineStr">
        <is>
          <t>Near-miss role</t>
        </is>
      </c>
      <c r="L1" s="6" t="inlineStr">
        <is>
          <t>Human role</t>
        </is>
      </c>
      <c r="M1" s="6" t="inlineStr">
        <is>
          <t>Feedback / update</t>
        </is>
      </c>
      <c r="N1" s="6" t="inlineStr">
        <is>
          <t>Context / provenance importance</t>
        </is>
      </c>
      <c r="O1" s="6" t="inlineStr">
        <is>
          <t>Field / physical grounding</t>
        </is>
      </c>
      <c r="P1" s="6" t="inlineStr">
        <is>
          <t>Relationship emphasis</t>
        </is>
      </c>
      <c r="Q1" s="6" t="inlineStr">
        <is>
          <t>Key result / principle</t>
        </is>
      </c>
      <c r="R1" s="6" t="inlineStr">
        <is>
          <t>Canonical URL</t>
        </is>
      </c>
      <c r="S1" s="6" t="inlineStr">
        <is>
          <t>Full-text URL</t>
        </is>
      </c>
      <c r="T1" s="6" t="inlineStr">
        <is>
          <t>Full-text status</t>
        </is>
      </c>
      <c r="U1" s="6" t="inlineStr">
        <is>
          <t>Comparator insight for AI-bio security</t>
        </is>
      </c>
    </row>
    <row r="2" ht="105" customHeight="1">
      <c r="A2" s="2" t="inlineStr">
        <is>
          <t>B01</t>
        </is>
      </c>
      <c r="B2" s="2" t="inlineStr">
        <is>
          <t>Traditional biosafety/biosecurity</t>
        </is>
      </c>
      <c r="C2" s="2" t="inlineStr">
        <is>
          <t>WHO Laboratory Biosafety Manual, 4th ed.</t>
        </is>
      </c>
      <c r="D2" s="2" t="inlineStr">
        <is>
          <t>2020</t>
        </is>
      </c>
      <c r="E2" s="2" t="inlineStr">
        <is>
          <t>WHO guidance</t>
        </is>
      </c>
      <c r="F2" s="2" t="inlineStr">
        <is>
          <t>laboratory / institutional biosafety program</t>
        </is>
      </c>
      <c r="G2" s="2" t="inlineStr">
        <is>
          <t>system / organization</t>
        </is>
      </c>
      <c r="H2" s="2" t="inlineStr">
        <is>
          <t>risk assessment and risk-based controls</t>
        </is>
      </c>
      <c r="I2" s="2" t="inlineStr">
        <is>
          <t>normative guidance informed by practice</t>
        </is>
      </c>
      <c r="J2" s="2" t="inlineStr">
        <is>
          <t>systemic risk management</t>
        </is>
      </c>
      <c r="K2" s="2" t="inlineStr">
        <is>
          <t>explicit</t>
        </is>
      </c>
      <c r="L2" s="2" t="inlineStr">
        <is>
          <t>personnel + management as safety participants</t>
        </is>
      </c>
      <c r="M2" s="2" t="inlineStr">
        <is>
          <t>explicit: incident review updates risk assessment and controls</t>
        </is>
      </c>
      <c r="N2" s="2" t="inlineStr">
        <is>
          <t>high</t>
        </is>
      </c>
      <c r="O2" s="2" t="inlineStr">
        <is>
          <t>yes</t>
        </is>
      </c>
      <c r="P2" s="2" t="inlineStr">
        <is>
          <t>yes</t>
        </is>
      </c>
      <c r="Q2" s="2" t="inlineStr">
        <is>
          <t>Risk assessment is iterative and context-specific; incident experience should update controls.</t>
        </is>
      </c>
      <c r="R2" s="3" t="inlineStr">
        <is>
          <t>https://www.who.int/publications-detail-redirect/9789240011311</t>
        </is>
      </c>
      <c r="S2" s="3" t="inlineStr">
        <is>
          <t>https://iris.who.int/bitstream/handle/10665/337956/9789240011311-eng.pdf?sequence=1</t>
        </is>
      </c>
      <c r="T2" s="2" t="inlineStr">
        <is>
          <t>full text public</t>
        </is>
      </c>
      <c r="U2" s="2" t="inlineStr">
        <is>
          <t>Shows mature biosafety treats safety as a lifecycle, not a one-time component test.</t>
        </is>
      </c>
    </row>
    <row r="3" ht="105" customHeight="1">
      <c r="A3" s="2" t="inlineStr">
        <is>
          <t>B02</t>
        </is>
      </c>
      <c r="B3" s="2" t="inlineStr">
        <is>
          <t>Traditional biosafety/biosecurity</t>
        </is>
      </c>
      <c r="C3" s="2" t="inlineStr">
        <is>
          <t>WHO Laboratory Biosafety Manual: Biosafety Programme Management</t>
        </is>
      </c>
      <c r="D3" s="2" t="inlineStr">
        <is>
          <t>2020</t>
        </is>
      </c>
      <c r="E3" s="2" t="inlineStr">
        <is>
          <t>WHO guidance</t>
        </is>
      </c>
      <c r="F3" s="2" t="inlineStr">
        <is>
          <t>biosafety program</t>
        </is>
      </c>
      <c r="G3" s="2" t="inlineStr">
        <is>
          <t>system / organization</t>
        </is>
      </c>
      <c r="H3" s="2" t="inlineStr">
        <is>
          <t>incident reporting, investigation, corrective action</t>
        </is>
      </c>
      <c r="I3" s="2" t="inlineStr">
        <is>
          <t>normative guidance + reporting templates</t>
        </is>
      </c>
      <c r="J3" s="2" t="inlineStr">
        <is>
          <t>near-miss learning / root cause</t>
        </is>
      </c>
      <c r="K3" s="2" t="inlineStr">
        <is>
          <t>explicit</t>
        </is>
      </c>
      <c r="L3" s="2" t="inlineStr">
        <is>
          <t>personnel as sensors; biosafety officer/committee as interpreters</t>
        </is>
      </c>
      <c r="M3" s="2" t="inlineStr">
        <is>
          <t>explicit: investigations inform corrective action and risk reviews</t>
        </is>
      </c>
      <c r="N3" s="2" t="inlineStr">
        <is>
          <t>high</t>
        </is>
      </c>
      <c r="O3" s="2" t="inlineStr">
        <is>
          <t>yes</t>
        </is>
      </c>
      <c r="P3" s="2" t="inlineStr">
        <is>
          <t>yes</t>
        </is>
      </c>
      <c r="Q3" s="2" t="inlineStr">
        <is>
          <t>Near misses are data; investigation is meant to change the system.</t>
        </is>
      </c>
      <c r="R3" s="3" t="inlineStr">
        <is>
          <t>https://www.who.int/publications-detail-redirect/9789240011434</t>
        </is>
      </c>
      <c r="S3" s="3" t="inlineStr">
        <is>
          <t>https://iris.who.int/bitstream/handle/10665/337963/9789240011434-eng.pdf</t>
        </is>
      </c>
      <c r="T3" s="2" t="inlineStr">
        <is>
          <t>full text public</t>
        </is>
      </c>
      <c r="U3" s="2" t="inlineStr">
        <is>
          <t>Direct precedent for studying small failures to prevent larger ones.</t>
        </is>
      </c>
    </row>
    <row r="4" ht="105" customHeight="1">
      <c r="A4" s="2" t="inlineStr">
        <is>
          <t>B03</t>
        </is>
      </c>
      <c r="B4" s="2" t="inlineStr">
        <is>
          <t>Traditional biosafety/biosecurity</t>
        </is>
      </c>
      <c r="C4" s="2" t="inlineStr">
        <is>
          <t>CDC Reporting Incidents and Near Misses</t>
        </is>
      </c>
      <c r="D4" s="2" t="inlineStr">
        <is>
          <t>2026</t>
        </is>
      </c>
      <c r="E4" s="2" t="inlineStr">
        <is>
          <t>CDC training/guidance</t>
        </is>
      </c>
      <c r="F4" s="2" t="inlineStr">
        <is>
          <t>laboratory work system</t>
        </is>
      </c>
      <c r="G4" s="2" t="inlineStr">
        <is>
          <t>organization / workflow</t>
        </is>
      </c>
      <c r="H4" s="2" t="inlineStr">
        <is>
          <t>reporting culture and risk mitigation</t>
        </is>
      </c>
      <c r="I4" s="2" t="inlineStr">
        <is>
          <t>practice guidance</t>
        </is>
      </c>
      <c r="J4" s="2" t="inlineStr">
        <is>
          <t>near-miss learning</t>
        </is>
      </c>
      <c r="K4" s="2" t="inlineStr">
        <is>
          <t>explicit</t>
        </is>
      </c>
      <c r="L4" s="2" t="inlineStr">
        <is>
          <t>workers as distributed sensors</t>
        </is>
      </c>
      <c r="M4" s="2" t="inlineStr">
        <is>
          <t>explicit: report -&gt; reassess -&gt; mitigate</t>
        </is>
      </c>
      <c r="N4" s="2" t="inlineStr">
        <is>
          <t>high</t>
        </is>
      </c>
      <c r="O4" s="2" t="inlineStr">
        <is>
          <t>yes</t>
        </is>
      </c>
      <c r="P4" s="2" t="inlineStr">
        <is>
          <t>yes</t>
        </is>
      </c>
      <c r="Q4" s="2" t="inlineStr">
        <is>
          <t>Safety culture depends on surfacing weak signals before harm.</t>
        </is>
      </c>
      <c r="R4" s="3" t="inlineStr">
        <is>
          <t>https://reach.cdc.gov/jobaid/reporting-incidents-and-near-misses</t>
        </is>
      </c>
      <c r="S4" s="3" t="inlineStr">
        <is>
          <t>https://reach.cdc.gov/jobaid/reporting-incidents-and-near-misses</t>
        </is>
      </c>
      <c r="T4" s="2" t="inlineStr">
        <is>
          <t>web full text</t>
        </is>
      </c>
      <c r="U4" s="2" t="inlineStr">
        <is>
          <t>Supports distributed sensing and nonpunitive reporting as security infrastructure.</t>
        </is>
      </c>
    </row>
    <row r="5" ht="105" customHeight="1">
      <c r="A5" s="2" t="inlineStr">
        <is>
          <t>B04</t>
        </is>
      </c>
      <c r="B5" s="2" t="inlineStr">
        <is>
          <t>Traditional biosafety/biosecurity</t>
        </is>
      </c>
      <c r="C5" s="2" t="inlineStr">
        <is>
          <t>WHO Laboratory Biosecurity Guidance</t>
        </is>
      </c>
      <c r="D5" s="2" t="inlineStr">
        <is>
          <t>2024</t>
        </is>
      </c>
      <c r="E5" s="2" t="inlineStr">
        <is>
          <t>WHO normative guidance</t>
        </is>
      </c>
      <c r="F5" s="2" t="inlineStr">
        <is>
          <t>high-consequence biological material/technology/information value chain</t>
        </is>
      </c>
      <c r="G5" s="2" t="inlineStr">
        <is>
          <t>system / value chain</t>
        </is>
      </c>
      <c r="H5" s="2" t="inlineStr">
        <is>
          <t>consequence-driven risk management across material, technology and information</t>
        </is>
      </c>
      <c r="I5" s="2" t="inlineStr">
        <is>
          <t>normative guidance</t>
        </is>
      </c>
      <c r="J5" s="2" t="inlineStr">
        <is>
          <t>lifecycle / value-chain security</t>
        </is>
      </c>
      <c r="K5" s="2" t="inlineStr">
        <is>
          <t>implicit</t>
        </is>
      </c>
      <c r="L5" s="2" t="inlineStr">
        <is>
          <t>institutional committees and multiple actors</t>
        </is>
      </c>
      <c r="M5" s="2" t="inlineStr">
        <is>
          <t>explicit/implicit through lifecycle review</t>
        </is>
      </c>
      <c r="N5" s="2" t="inlineStr">
        <is>
          <t>high</t>
        </is>
      </c>
      <c r="O5" s="2" t="inlineStr">
        <is>
          <t>yes</t>
        </is>
      </c>
      <c r="P5" s="2" t="inlineStr">
        <is>
          <t>yes</t>
        </is>
      </c>
      <c r="Q5" s="2" t="inlineStr">
        <is>
          <t>Biosecurity already recognizes whole-value-chain controls and emerging cyber/AI threats.</t>
        </is>
      </c>
      <c r="R5" s="3" t="inlineStr">
        <is>
          <t>https://www.who.int/publications/i/item/9789240095113</t>
        </is>
      </c>
      <c r="S5" s="3" t="inlineStr">
        <is>
          <t>https://www.who.int/publications/i/item/9789240095113</t>
        </is>
      </c>
      <c r="T5" s="2" t="inlineStr">
        <is>
          <t>public guidance</t>
        </is>
      </c>
      <c r="U5" s="2" t="inlineStr">
        <is>
          <t>Useful comparator: traditional biosecurity is more relational than some AI-bio framing implies.</t>
        </is>
      </c>
    </row>
    <row r="6" ht="105" customHeight="1">
      <c r="A6" s="2" t="inlineStr">
        <is>
          <t>B05</t>
        </is>
      </c>
      <c r="B6" s="2" t="inlineStr">
        <is>
          <t>Traditional biosafety/biosecurity</t>
        </is>
      </c>
      <c r="C6" s="2" t="inlineStr">
        <is>
          <t>CDC Guidelines for Biosafety Laboratory Competency</t>
        </is>
      </c>
      <c r="D6" s="2" t="inlineStr">
        <is>
          <t>2011</t>
        </is>
      </c>
      <c r="E6" s="2" t="inlineStr">
        <is>
          <t>CDC guideline</t>
        </is>
      </c>
      <c r="F6" s="2" t="inlineStr">
        <is>
          <t>laboratory organization and workforce</t>
        </is>
      </c>
      <c r="G6" s="2" t="inlineStr">
        <is>
          <t>organization</t>
        </is>
      </c>
      <c r="H6" s="2" t="inlineStr">
        <is>
          <t>culture of safety, communication, adaptability</t>
        </is>
      </c>
      <c r="I6" s="2" t="inlineStr">
        <is>
          <t>expert guideline</t>
        </is>
      </c>
      <c r="J6" s="2" t="inlineStr">
        <is>
          <t>organizational learning</t>
        </is>
      </c>
      <c r="K6" s="2" t="inlineStr">
        <is>
          <t>explicit</t>
        </is>
      </c>
      <c r="L6" s="2" t="inlineStr">
        <is>
          <t>humans as responsible reporters, adaptive experts, managers</t>
        </is>
      </c>
      <c r="M6" s="2" t="inlineStr">
        <is>
          <t>explicit continuous hazard recognition -&gt; assessment -&gt; mitigation</t>
        </is>
      </c>
      <c r="N6" s="2" t="inlineStr">
        <is>
          <t>high</t>
        </is>
      </c>
      <c r="O6" s="2" t="inlineStr">
        <is>
          <t>yes</t>
        </is>
      </c>
      <c r="P6" s="2" t="inlineStr">
        <is>
          <t>yes</t>
        </is>
      </c>
      <c r="Q6" s="2" t="inlineStr">
        <is>
          <t>Safety cannot be guaranteed by rules alone; open, nonpunitive communication is a control.</t>
        </is>
      </c>
      <c r="R6" s="3" t="inlineStr">
        <is>
          <t>https://www.cdc.gov/mmwr/preview/mmwrhtml/su6002a1.htm</t>
        </is>
      </c>
      <c r="S6" s="3" t="inlineStr">
        <is>
          <t>https://www.cdc.gov/mmwr/preview/mmwrhtml/su6002a1.htm</t>
        </is>
      </c>
      <c r="T6" s="2" t="inlineStr">
        <is>
          <t>web full text</t>
        </is>
      </c>
      <c r="U6" s="2" t="inlineStr">
        <is>
          <t>Strong precedent for authority, culture, and feedback as safety variables.</t>
        </is>
      </c>
    </row>
    <row r="7" ht="105" customHeight="1">
      <c r="A7" s="2" t="inlineStr">
        <is>
          <t>S01</t>
        </is>
      </c>
      <c r="B7" s="2" t="inlineStr">
        <is>
          <t>Safety engineering / human factors</t>
        </is>
      </c>
      <c r="C7" s="2" t="inlineStr">
        <is>
          <t>Leveson, A New Accident Model for Engineering Safer Systems</t>
        </is>
      </c>
      <c r="D7" s="2" t="inlineStr">
        <is>
          <t>2002</t>
        </is>
      </c>
      <c r="E7" s="2" t="inlineStr">
        <is>
          <t>systems safety paper</t>
        </is>
      </c>
      <c r="F7" s="2" t="inlineStr">
        <is>
          <t>complex engineered sociotechnical system</t>
        </is>
      </c>
      <c r="G7" s="2" t="inlineStr">
        <is>
          <t>system / control structure</t>
        </is>
      </c>
      <c r="H7" s="2" t="inlineStr">
        <is>
          <t>accident causality via inadequate control</t>
        </is>
      </c>
      <c r="I7" s="2" t="inlineStr">
        <is>
          <t>systems theory / conceptual + case-based</t>
        </is>
      </c>
      <c r="J7" s="2" t="inlineStr">
        <is>
          <t>systemic control</t>
        </is>
      </c>
      <c r="K7" s="2" t="inlineStr">
        <is>
          <t>implicit</t>
        </is>
      </c>
      <c r="L7" s="2" t="inlineStr">
        <is>
          <t>humans/organizations are components of control structure</t>
        </is>
      </c>
      <c r="M7" s="2" t="inlineStr">
        <is>
          <t>explicit control and feedback</t>
        </is>
      </c>
      <c r="N7" s="2" t="inlineStr">
        <is>
          <t>high</t>
        </is>
      </c>
      <c r="O7" s="2" t="inlineStr">
        <is>
          <t>yes</t>
        </is>
      </c>
      <c r="P7" s="2" t="inlineStr">
        <is>
          <t>partial</t>
        </is>
      </c>
      <c r="Q7" s="2" t="inlineStr">
        <is>
          <t>Accidents can emerge without component failure; constraints and interactions matter.</t>
        </is>
      </c>
      <c r="R7" s="3" t="inlineStr">
        <is>
          <t>https://dspace.mit.edu/entities/publication/03206756-4eb7-4d4b-8c44-01e8082caa2b</t>
        </is>
      </c>
      <c r="S7" s="3" t="inlineStr">
        <is>
          <t>https://dspace.mit.edu/entities/publication/03206756-4eb7-4d4b-8c44-01e8082caa2b</t>
        </is>
      </c>
      <c r="T7" s="2" t="inlineStr">
        <is>
          <t>PDF available</t>
        </is>
      </c>
      <c r="U7" s="2" t="inlineStr">
        <is>
          <t>Direct theoretical precedent for relational biosecurity.</t>
        </is>
      </c>
    </row>
    <row r="8" ht="105" customHeight="1">
      <c r="A8" s="2" t="inlineStr">
        <is>
          <t>S02</t>
        </is>
      </c>
      <c r="B8" s="2" t="inlineStr">
        <is>
          <t>Safety engineering / human factors</t>
        </is>
      </c>
      <c r="C8" s="2" t="inlineStr">
        <is>
          <t>Abdulkhaleq, Wagner &amp; Leveson, STPA for software-intensive systems</t>
        </is>
      </c>
      <c r="D8" s="2" t="inlineStr">
        <is>
          <t>2015</t>
        </is>
      </c>
      <c r="E8" s="2" t="inlineStr">
        <is>
          <t>safety engineering paper</t>
        </is>
      </c>
      <c r="F8" s="2" t="inlineStr">
        <is>
          <t>software-intensive safety-critical system</t>
        </is>
      </c>
      <c r="G8" s="2" t="inlineStr">
        <is>
          <t>system / control structure</t>
        </is>
      </c>
      <c r="H8" s="2" t="inlineStr">
        <is>
          <t>hazards, unsafe control actions, safety constraints</t>
        </is>
      </c>
      <c r="I8" s="2" t="inlineStr">
        <is>
          <t>method + worked application</t>
        </is>
      </c>
      <c r="J8" s="2" t="inlineStr">
        <is>
          <t>systemic control</t>
        </is>
      </c>
      <c r="K8" s="2" t="inlineStr">
        <is>
          <t>implicit</t>
        </is>
      </c>
      <c r="L8" s="2" t="inlineStr">
        <is>
          <t>humans/software/controllers integrated</t>
        </is>
      </c>
      <c r="M8" s="2" t="inlineStr">
        <is>
          <t>explicit feedback/control constraints</t>
        </is>
      </c>
      <c r="N8" s="2" t="inlineStr">
        <is>
          <t>high</t>
        </is>
      </c>
      <c r="O8" s="2" t="inlineStr">
        <is>
          <t>yes</t>
        </is>
      </c>
      <c r="P8" s="2" t="inlineStr">
        <is>
          <t>partial</t>
        </is>
      </c>
      <c r="Q8" s="2" t="inlineStr">
        <is>
          <t>Correct component behavior does not imply safe system behavior.</t>
        </is>
      </c>
      <c r="R8" s="3" t="inlineStr">
        <is>
          <t>https://dspace.mit.edu/entities/publication/43aafa21-0671-4f1c-ae12-a0b0d8c97ac6</t>
        </is>
      </c>
      <c r="S8" s="3" t="inlineStr">
        <is>
          <t>https://dspace.mit.edu/entities/publication/43aafa21-0671-4f1c-ae12-a0b0d8c97ac6</t>
        </is>
      </c>
      <c r="T8" s="2" t="inlineStr">
        <is>
          <t>PDF available</t>
        </is>
      </c>
      <c r="U8" s="2" t="inlineStr">
        <is>
          <t>Supports interface-level hazard analysis and technical-relationships-first framing.</t>
        </is>
      </c>
    </row>
    <row r="9" ht="105" customHeight="1">
      <c r="A9" s="2" t="inlineStr">
        <is>
          <t>S03</t>
        </is>
      </c>
      <c r="B9" s="2" t="inlineStr">
        <is>
          <t>Safety engineering / human factors</t>
        </is>
      </c>
      <c r="C9" s="2" t="inlineStr">
        <is>
          <t>Reason, Human error: models and management</t>
        </is>
      </c>
      <c r="D9" s="2" t="inlineStr">
        <is>
          <t>2000</t>
        </is>
      </c>
      <c r="E9" s="2" t="inlineStr">
        <is>
          <t>human factors / safety paper</t>
        </is>
      </c>
      <c r="F9" s="2" t="inlineStr">
        <is>
          <t>healthcare/high-risk organization</t>
        </is>
      </c>
      <c r="G9" s="2" t="inlineStr">
        <is>
          <t>organization / layered defenses</t>
        </is>
      </c>
      <c r="H9" s="2" t="inlineStr">
        <is>
          <t>system conditions that create or buffer error</t>
        </is>
      </c>
      <c r="I9" s="2" t="inlineStr">
        <is>
          <t>conceptual synthesis</t>
        </is>
      </c>
      <c r="J9" s="2" t="inlineStr">
        <is>
          <t>defense-in-depth / latent conditions</t>
        </is>
      </c>
      <c r="K9" s="2" t="inlineStr">
        <is>
          <t>yes</t>
        </is>
      </c>
      <c r="L9" s="2" t="inlineStr">
        <is>
          <t>humans are fallible and also part of defenses</t>
        </is>
      </c>
      <c r="M9" s="2" t="inlineStr">
        <is>
          <t>implicit learning from recurrent patterns</t>
        </is>
      </c>
      <c r="N9" s="2" t="inlineStr">
        <is>
          <t>high</t>
        </is>
      </c>
      <c r="O9" s="2" t="inlineStr">
        <is>
          <t>yes</t>
        </is>
      </c>
      <c r="P9" s="2" t="inlineStr">
        <is>
          <t>partial</t>
        </is>
      </c>
      <c r="Q9" s="2" t="inlineStr">
        <is>
          <t>Safety depends on layered defenses whose weaknesses align dynamically.</t>
        </is>
      </c>
      <c r="R9" s="3" t="inlineStr">
        <is>
          <t>https://www.bmj.com/content/320/7237/768</t>
        </is>
      </c>
      <c r="S9" s="3" t="inlineStr">
        <is>
          <t>https://www.bmj.com/content/bmj/320/7237/768.full.pdf</t>
        </is>
      </c>
      <c r="T9" s="2" t="inlineStr">
        <is>
          <t>full PDF public</t>
        </is>
      </c>
      <c r="U9" s="2" t="inlineStr">
        <is>
          <t>Useful for propagation/buffering and avoiding person-blame.</t>
        </is>
      </c>
    </row>
    <row r="10" ht="105" customHeight="1">
      <c r="A10" s="2" t="inlineStr">
        <is>
          <t>S04</t>
        </is>
      </c>
      <c r="B10" s="2" t="inlineStr">
        <is>
          <t>Safety engineering / human factors</t>
        </is>
      </c>
      <c r="C10" s="2" t="inlineStr">
        <is>
          <t>Van Spall et al., Near-misses are an opportunity to improve patient safety</t>
        </is>
      </c>
      <c r="D10" s="2" t="inlineStr">
        <is>
          <t>2015</t>
        </is>
      </c>
      <c r="E10" s="2" t="inlineStr">
        <is>
          <t>review</t>
        </is>
      </c>
      <c r="F10" s="2" t="inlineStr">
        <is>
          <t>healthcare / HRO</t>
        </is>
      </c>
      <c r="G10" s="2" t="inlineStr">
        <is>
          <t>organization / operations</t>
        </is>
      </c>
      <c r="H10" s="2" t="inlineStr">
        <is>
          <t>near-miss analysis and safety improvement</t>
        </is>
      </c>
      <c r="I10" s="2" t="inlineStr">
        <is>
          <t>review of HRO practice</t>
        </is>
      </c>
      <c r="J10" s="2" t="inlineStr">
        <is>
          <t>near-miss learning</t>
        </is>
      </c>
      <c r="K10" s="2" t="inlineStr">
        <is>
          <t>explicit</t>
        </is>
      </c>
      <c r="L10" s="2" t="inlineStr">
        <is>
          <t>frontline workers + organization</t>
        </is>
      </c>
      <c r="M10" s="2" t="inlineStr">
        <is>
          <t>explicit: near-miss analysis -&gt; SOP/checklists/training/redundancy</t>
        </is>
      </c>
      <c r="N10" s="2" t="inlineStr">
        <is>
          <t>high</t>
        </is>
      </c>
      <c r="O10" s="2" t="inlineStr">
        <is>
          <t>yes</t>
        </is>
      </c>
      <c r="P10" s="2" t="inlineStr">
        <is>
          <t>yes</t>
        </is>
      </c>
      <c r="Q10" s="2" t="inlineStr">
        <is>
          <t>Frequent low-harm events can inform prevention of high-harm outcomes.</t>
        </is>
      </c>
      <c r="R10" s="3" t="inlineStr">
        <is>
          <t>https://pubmed.ncbi.nlm.nih.gov/26126125/</t>
        </is>
      </c>
      <c r="S10" s="3" t="inlineStr">
        <is>
          <t>https://pubmed.ncbi.nlm.nih.gov/26126125/</t>
        </is>
      </c>
      <c r="T10" s="2" t="inlineStr">
        <is>
          <t>free article</t>
        </is>
      </c>
      <c r="U10" s="2" t="inlineStr">
        <is>
          <t>Strong precedent for the small-failures strategy.</t>
        </is>
      </c>
    </row>
    <row r="11" ht="105" customHeight="1">
      <c r="A11" s="2" t="inlineStr">
        <is>
          <t>S05</t>
        </is>
      </c>
      <c r="B11" s="2" t="inlineStr">
        <is>
          <t>Safety engineering / human factors</t>
        </is>
      </c>
      <c r="C11" s="2" t="inlineStr">
        <is>
          <t>Provan et al., Safety II professionals</t>
        </is>
      </c>
      <c r="D11" s="2" t="inlineStr">
        <is>
          <t>2020</t>
        </is>
      </c>
      <c r="E11" s="2" t="inlineStr">
        <is>
          <t>review/conceptual</t>
        </is>
      </c>
      <c r="F11" s="2" t="inlineStr">
        <is>
          <t>complex organizations</t>
        </is>
      </c>
      <c r="G11" s="2" t="inlineStr">
        <is>
          <t>organization / frontline adaptation</t>
        </is>
      </c>
      <c r="H11" s="2" t="inlineStr">
        <is>
          <t>guided adaptability vs centralized control</t>
        </is>
      </c>
      <c r="I11" s="2" t="inlineStr">
        <is>
          <t>review/synthesis</t>
        </is>
      </c>
      <c r="J11" s="2" t="inlineStr">
        <is>
          <t>resilience / adaptive success</t>
        </is>
      </c>
      <c r="K11" s="2" t="inlineStr">
        <is>
          <t>implicit</t>
        </is>
      </c>
      <c r="L11" s="2" t="inlineStr">
        <is>
          <t>frontline humans as adaptive agents</t>
        </is>
      </c>
      <c r="M11" s="2" t="inlineStr">
        <is>
          <t>explicit learning/adaptation</t>
        </is>
      </c>
      <c r="N11" s="2" t="inlineStr">
        <is>
          <t>high</t>
        </is>
      </c>
      <c r="O11" s="2" t="inlineStr">
        <is>
          <t>yes</t>
        </is>
      </c>
      <c r="P11" s="2" t="inlineStr">
        <is>
          <t>partial</t>
        </is>
      </c>
      <c r="Q11" s="2" t="inlineStr">
        <is>
          <t>Safety can arise from adaptive capacity, not only compliance and control.</t>
        </is>
      </c>
      <c r="R11" s="3" t="inlineStr">
        <is>
          <t>https://doi.org/10.1016/j.ress.2019.106740</t>
        </is>
      </c>
      <c r="S11" s="3" t="inlineStr">
        <is>
          <t>https://doi.org/10.1016/j.ress.2019.106740</t>
        </is>
      </c>
      <c r="T11" s="2" t="inlineStr">
        <is>
          <t>publisher full text may vary</t>
        </is>
      </c>
      <c r="U11" s="2" t="inlineStr">
        <is>
          <t>Important comparator for care/resilience and distributed authority.</t>
        </is>
      </c>
    </row>
    <row r="12" ht="105" customHeight="1">
      <c r="A12" s="2" t="inlineStr">
        <is>
          <t>C01</t>
        </is>
      </c>
      <c r="B12" s="2" t="inlineStr">
        <is>
          <t>Empirical cybersecurity</t>
        </is>
      </c>
      <c r="C12" s="2" t="inlineStr">
        <is>
          <t>Dumitras &amp; Shou, WINE</t>
        </is>
      </c>
      <c r="D12" s="2" t="inlineStr">
        <is>
          <t>2011</t>
        </is>
      </c>
      <c r="E12" s="2" t="inlineStr">
        <is>
          <t>empirical security infrastructure</t>
        </is>
      </c>
      <c r="F12" s="2" t="inlineStr">
        <is>
          <t>real-world endpoint telemetry</t>
        </is>
      </c>
      <c r="G12" s="2" t="inlineStr">
        <is>
          <t>deployed ecosystem / field</t>
        </is>
      </c>
      <c r="H12" s="2" t="inlineStr">
        <is>
          <t>representative field observation + reproducible experimentation</t>
        </is>
      </c>
      <c r="I12" s="2" t="inlineStr">
        <is>
          <t>large-scale field telemetry</t>
        </is>
      </c>
      <c r="J12" s="2" t="inlineStr">
        <is>
          <t>empirical lifecycle measurement</t>
        </is>
      </c>
      <c r="K12" s="2" t="inlineStr">
        <is>
          <t>implicit</t>
        </is>
      </c>
      <c r="L12" s="2" t="inlineStr">
        <is>
          <t>users/hosts are observed system participants</t>
        </is>
      </c>
      <c r="M12" s="2" t="inlineStr">
        <is>
          <t>historical/longitudinal feedback enabled by archived data</t>
        </is>
      </c>
      <c r="N12" s="2" t="inlineStr">
        <is>
          <t>high</t>
        </is>
      </c>
      <c r="O12" s="2" t="inlineStr">
        <is>
          <t>yes</t>
        </is>
      </c>
      <c r="P12" s="2" t="inlineStr">
        <is>
          <t>yes</t>
        </is>
      </c>
      <c r="Q12" s="2" t="inlineStr">
        <is>
          <t>Security claims should be grounded in representative field data and metadata, not only lab benchmarks.</t>
        </is>
      </c>
      <c r="R12" s="3" t="inlineStr">
        <is>
          <t>https://users.umiacs.umd.edu/~tudor/research-wine.html</t>
        </is>
      </c>
      <c r="S12" s="3" t="inlineStr">
        <is>
          <t>https://www.researchgate.net/publication/234817875_Toward_a_standard_benchmark_for_computer_security_research_the_worldwide_intelligence_network_environment_WINE</t>
        </is>
      </c>
      <c r="T12" s="2" t="inlineStr">
        <is>
          <t>author page + paper</t>
        </is>
      </c>
      <c r="U12" s="2" t="inlineStr">
        <is>
          <t>Direct methodological precedent for an AI-bio observatory.</t>
        </is>
      </c>
    </row>
    <row r="13" ht="105" customHeight="1">
      <c r="A13" s="2" t="inlineStr">
        <is>
          <t>C02</t>
        </is>
      </c>
      <c r="B13" s="2" t="inlineStr">
        <is>
          <t>Empirical cybersecurity</t>
        </is>
      </c>
      <c r="C13" s="2" t="inlineStr">
        <is>
          <t>Verizon Data Breach Investigations Report 2025</t>
        </is>
      </c>
      <c r="D13" s="2" t="inlineStr">
        <is>
          <t>2025</t>
        </is>
      </c>
      <c r="E13" s="2" t="inlineStr">
        <is>
          <t>industry field report</t>
        </is>
      </c>
      <c r="F13" s="2" t="inlineStr">
        <is>
          <t>real security incidents/breaches</t>
        </is>
      </c>
      <c r="G13" s="2" t="inlineStr">
        <is>
          <t>ecosystem / incidents</t>
        </is>
      </c>
      <c r="H13" s="2" t="inlineStr">
        <is>
          <t>patterns in breaches, actors, vectors, third parties</t>
        </is>
      </c>
      <c r="I13" s="2" t="inlineStr">
        <is>
          <t>multi-source incident dataset</t>
        </is>
      </c>
      <c r="J13" s="2" t="inlineStr">
        <is>
          <t>field incidence / consequence</t>
        </is>
      </c>
      <c r="K13" s="2" t="inlineStr">
        <is>
          <t>implicit</t>
        </is>
      </c>
      <c r="L13" s="2" t="inlineStr">
        <is>
          <t>humans/orgs/third parties all part of causal system</t>
        </is>
      </c>
      <c r="M13" s="2" t="inlineStr">
        <is>
          <t>retrospective learning</t>
        </is>
      </c>
      <c r="N13" s="2" t="inlineStr">
        <is>
          <t>medium</t>
        </is>
      </c>
      <c r="O13" s="2" t="inlineStr">
        <is>
          <t>yes</t>
        </is>
      </c>
      <c r="P13" s="2" t="inlineStr">
        <is>
          <t>yes</t>
        </is>
      </c>
      <c r="Q13" s="2" t="inlineStr">
        <is>
          <t>Security knowledge is built from observed incidents at scale, not proxy tasks alone.</t>
        </is>
      </c>
      <c r="R13" s="3" t="inlineStr">
        <is>
          <t>https://www.verizon.com/business/resources/reports/dbir/</t>
        </is>
      </c>
      <c r="S13" s="3" t="inlineStr">
        <is>
          <t>https://www.verizon.com/business/resources/reports/dbir/</t>
        </is>
      </c>
      <c r="T13" s="2" t="inlineStr">
        <is>
          <t>public report</t>
        </is>
      </c>
      <c r="U13" s="2" t="inlineStr">
        <is>
          <t>Comparator for surveillance-style incident corpus.</t>
        </is>
      </c>
    </row>
    <row r="14" ht="105" customHeight="1">
      <c r="A14" s="2" t="inlineStr">
        <is>
          <t>C03</t>
        </is>
      </c>
      <c r="B14" s="2" t="inlineStr">
        <is>
          <t>Empirical cybersecurity</t>
        </is>
      </c>
      <c r="C14" s="2" t="inlineStr">
        <is>
          <t>A Comparison of Systemic and Systematic Risks of Malware Encounters</t>
        </is>
      </c>
      <c r="D14" s="2" t="inlineStr">
        <is>
          <t>2023</t>
        </is>
      </c>
      <c r="E14" s="2" t="inlineStr">
        <is>
          <t>empirical paper</t>
        </is>
      </c>
      <c r="F14" s="2" t="inlineStr">
        <is>
          <t>consumer + enterprise hosts</t>
        </is>
      </c>
      <c r="G14" s="2" t="inlineStr">
        <is>
          <t>deployed ecosystem</t>
        </is>
      </c>
      <c r="H14" s="2" t="inlineStr">
        <is>
          <t>malware risk under real security postures</t>
        </is>
      </c>
      <c r="I14" s="2" t="inlineStr">
        <is>
          <t>hundreds of millions of host telemetry records</t>
        </is>
      </c>
      <c r="J14" s="2" t="inlineStr">
        <is>
          <t>field risk / predictive indicators</t>
        </is>
      </c>
      <c r="K14" s="2" t="inlineStr">
        <is>
          <t>implicit</t>
        </is>
      </c>
      <c r="L14" s="2" t="inlineStr">
        <is>
          <t>users/orgs situated in shared networks/software ecosystem</t>
        </is>
      </c>
      <c r="M14" s="2" t="inlineStr">
        <is>
          <t>implicit</t>
        </is>
      </c>
      <c r="N14" s="2" t="inlineStr">
        <is>
          <t>medium</t>
        </is>
      </c>
      <c r="O14" s="2" t="inlineStr">
        <is>
          <t>yes</t>
        </is>
      </c>
      <c r="P14" s="2" t="inlineStr">
        <is>
          <t>yes</t>
        </is>
      </c>
      <c r="Q14" s="2" t="inlineStr">
        <is>
          <t>Some risk is irreducible at individual-node level because shared infrastructure creates systematic exposure.</t>
        </is>
      </c>
      <c r="R14" s="3" t="inlineStr">
        <is>
          <t>https://doi.org/10.1145/3565362</t>
        </is>
      </c>
      <c r="S14" s="3" t="inlineStr">
        <is>
          <t>https://doi.org/10.1145/3565362</t>
        </is>
      </c>
      <c r="T14" s="2" t="inlineStr">
        <is>
          <t>publisher</t>
        </is>
      </c>
      <c r="U14" s="2" t="inlineStr">
        <is>
          <t>Strong analogue for relational/systematic risk beyond component hygiene.</t>
        </is>
      </c>
    </row>
    <row r="15" ht="105" customHeight="1">
      <c r="A15" s="2" t="inlineStr">
        <is>
          <t>C04</t>
        </is>
      </c>
      <c r="B15" s="2" t="inlineStr">
        <is>
          <t>Empirical cybersecurity</t>
        </is>
      </c>
      <c r="C15" s="2" t="inlineStr">
        <is>
          <t>GAMBiT human-subject red-team cyber range datasets</t>
        </is>
      </c>
      <c r="D15" s="2" t="inlineStr">
        <is>
          <t>2026</t>
        </is>
      </c>
      <c r="E15" s="2" t="inlineStr">
        <is>
          <t>data article / experiments</t>
        </is>
      </c>
      <c r="F15" s="2" t="inlineStr">
        <is>
          <t>skilled attackers in simulated enterprise</t>
        </is>
      </c>
      <c r="G15" s="2" t="inlineStr">
        <is>
          <t>human + tools + environment</t>
        </is>
      </c>
      <c r="H15" s="2" t="inlineStr">
        <is>
          <t>attacker behavior and cognitive bias under realistic operations</t>
        </is>
      </c>
      <c r="I15" s="2" t="inlineStr">
        <is>
          <t>human-subject cyber-range telemetry</t>
        </is>
      </c>
      <c r="J15" s="2" t="inlineStr">
        <is>
          <t>behavioral process / workflow</t>
        </is>
      </c>
      <c r="K15" s="2" t="inlineStr">
        <is>
          <t>implicit</t>
        </is>
      </c>
      <c r="L15" s="2" t="inlineStr">
        <is>
          <t>humans are primary actors with multi-modal traces</t>
        </is>
      </c>
      <c r="M15" s="2" t="inlineStr">
        <is>
          <t>yes, longitudinal within exercises</t>
        </is>
      </c>
      <c r="N15" s="2" t="inlineStr">
        <is>
          <t>high</t>
        </is>
      </c>
      <c r="O15" s="2" t="inlineStr">
        <is>
          <t>yes</t>
        </is>
      </c>
      <c r="P15" s="2" t="inlineStr">
        <is>
          <t>yes</t>
        </is>
      </c>
      <c r="Q15" s="2" t="inlineStr">
        <is>
          <t>Rich process telemetry reveals how decisions unfold, not only final success/failure.</t>
        </is>
      </c>
      <c r="R15" s="3" t="inlineStr">
        <is>
          <t>https://pmc.ncbi.nlm.nih.gov/articles/PMC12865583/</t>
        </is>
      </c>
      <c r="S15" s="3" t="inlineStr">
        <is>
          <t>https://pmc.ncbi.nlm.nih.gov/articles/PMC12865583/</t>
        </is>
      </c>
      <c r="T15" s="2" t="inlineStr">
        <is>
          <t>full text public</t>
        </is>
      </c>
      <c r="U15" s="2" t="inlineStr">
        <is>
          <t>Methodological template for workflow-level observation with human context.</t>
        </is>
      </c>
    </row>
    <row r="16" ht="105" customHeight="1">
      <c r="A16" s="2" t="inlineStr">
        <is>
          <t>C05</t>
        </is>
      </c>
      <c r="B16" s="2" t="inlineStr">
        <is>
          <t>Empirical cybersecurity</t>
        </is>
      </c>
      <c r="C16" s="2" t="inlineStr">
        <is>
          <t>Forensic visibility gaps in fileless malware incidents</t>
        </is>
      </c>
      <c r="D16" s="2" t="inlineStr">
        <is>
          <t>2026</t>
        </is>
      </c>
      <c r="E16" s="2" t="inlineStr">
        <is>
          <t>empirical incident analysis</t>
        </is>
      </c>
      <c r="F16" s="2" t="inlineStr">
        <is>
          <t>49 confirmed intrusions</t>
        </is>
      </c>
      <c r="G16" s="2" t="inlineStr">
        <is>
          <t>real incident lifecycle</t>
        </is>
      </c>
      <c r="H16" s="2" t="inlineStr">
        <is>
          <t>which artifacts survive and remain detectable</t>
        </is>
      </c>
      <c r="I16" s="2" t="inlineStr">
        <is>
          <t>coded CISA advisories / incident corpus</t>
        </is>
      </c>
      <c r="J16" s="2" t="inlineStr">
        <is>
          <t>observability / detection</t>
        </is>
      </c>
      <c r="K16" s="2" t="inlineStr">
        <is>
          <t>implicit</t>
        </is>
      </c>
      <c r="L16" s="2" t="inlineStr">
        <is>
          <t>analysts depend on surviving artifacts</t>
        </is>
      </c>
      <c r="M16" s="2" t="inlineStr">
        <is>
          <t>implicit</t>
        </is>
      </c>
      <c r="N16" s="2" t="inlineStr">
        <is>
          <t>high</t>
        </is>
      </c>
      <c r="O16" s="2" t="inlineStr">
        <is>
          <t>yes</t>
        </is>
      </c>
      <c r="P16" s="2" t="inlineStr">
        <is>
          <t>yes</t>
        </is>
      </c>
      <c r="Q16" s="2" t="inlineStr">
        <is>
          <t>Detection depends on what evidence survives the trajectory; visibility is relational and technique-dependent.</t>
        </is>
      </c>
      <c r="R16" s="3" t="inlineStr">
        <is>
          <t>https://www.sciencedirect.com/science/article/pii/S2666281726000697</t>
        </is>
      </c>
      <c r="S16" s="3" t="inlineStr">
        <is>
          <t>https://www.sciencedirect.com/science/article/pii/S2666281726000697</t>
        </is>
      </c>
      <c r="T16" s="2" t="inlineStr">
        <is>
          <t>open/publisher</t>
        </is>
      </c>
      <c r="U16" s="2" t="inlineStr">
        <is>
          <t>Strong analogue for feedback availability vs interpretability.</t>
        </is>
      </c>
    </row>
    <row r="17" ht="105" customHeight="1">
      <c r="A17" s="2" t="inlineStr">
        <is>
          <t>D01</t>
        </is>
      </c>
      <c r="B17" s="2" t="inlineStr">
        <is>
          <t>Bioinformatics / data quality</t>
        </is>
      </c>
      <c r="C17" s="2" t="inlineStr">
        <is>
          <t>Ouzounis, Modeling percolation of annotation errors</t>
        </is>
      </c>
      <c r="D17" s="2" t="inlineStr">
        <is>
          <t>2002</t>
        </is>
      </c>
      <c r="E17" s="2" t="inlineStr">
        <is>
          <t>bioinformatics paper</t>
        </is>
      </c>
      <c r="F17" s="2" t="inlineStr">
        <is>
          <t>protein sequence databases</t>
        </is>
      </c>
      <c r="G17" s="2" t="inlineStr">
        <is>
          <t>database / inference network</t>
        </is>
      </c>
      <c r="H17" s="2" t="inlineStr">
        <is>
          <t>error propagation through similarity-derived annotations</t>
        </is>
      </c>
      <c r="I17" s="2" t="inlineStr">
        <is>
          <t>probabilistic model</t>
        </is>
      </c>
      <c r="J17" s="2" t="inlineStr">
        <is>
          <t>error percolation</t>
        </is>
      </c>
      <c r="K17" s="2" t="inlineStr">
        <is>
          <t>implicit</t>
        </is>
      </c>
      <c r="L17" s="2" t="inlineStr">
        <is>
          <t>curators/researchers upstream/downstream</t>
        </is>
      </c>
      <c r="M17" s="2" t="inlineStr">
        <is>
          <t>model implies cumulative update effects</t>
        </is>
      </c>
      <c r="N17" s="2" t="inlineStr">
        <is>
          <t>high</t>
        </is>
      </c>
      <c r="O17" s="2" t="inlineStr">
        <is>
          <t>no</t>
        </is>
      </c>
      <c r="P17" s="2" t="inlineStr">
        <is>
          <t>partial</t>
        </is>
      </c>
      <c r="Q17" s="2" t="inlineStr">
        <is>
          <t>An upstream error can propagate through relational dependencies even when each downstream step is locally plausible.</t>
        </is>
      </c>
      <c r="R17" s="3" t="inlineStr">
        <is>
          <t>https://academic.oup.com/bioinformatics/article/18/12/1641/239411</t>
        </is>
      </c>
      <c r="S17" s="3" t="inlineStr">
        <is>
          <t>https://academic.oup.com/bioinformatics/article/18/12/1641/239411</t>
        </is>
      </c>
      <c r="T17" s="2" t="inlineStr">
        <is>
          <t>PDF available</t>
        </is>
      </c>
      <c r="U17" s="2" t="inlineStr">
        <is>
          <t>Direct biological precedent for perturbation propagation.</t>
        </is>
      </c>
    </row>
    <row r="18" ht="105" customHeight="1">
      <c r="A18" s="2" t="inlineStr">
        <is>
          <t>D02</t>
        </is>
      </c>
      <c r="B18" s="2" t="inlineStr">
        <is>
          <t>Bioinformatics / data quality</t>
        </is>
      </c>
      <c r="C18" s="2" t="inlineStr">
        <is>
          <t>Detecting and correcting misclassified sequences in public databases</t>
        </is>
      </c>
      <c r="D18" s="2" t="inlineStr">
        <is>
          <t>2020</t>
        </is>
      </c>
      <c r="E18" s="2" t="inlineStr">
        <is>
          <t>bioinformatics paper</t>
        </is>
      </c>
      <c r="F18" s="2" t="inlineStr">
        <is>
          <t>NR/public sequence databases</t>
        </is>
      </c>
      <c r="G18" s="2" t="inlineStr">
        <is>
          <t>database + submission ecosystem</t>
        </is>
      </c>
      <c r="H18" s="2" t="inlineStr">
        <is>
          <t>metadata errors, contamination, computational misclassification</t>
        </is>
      </c>
      <c r="I18" s="2" t="inlineStr">
        <is>
          <t>large-scale database analysis</t>
        </is>
      </c>
      <c r="J18" s="2" t="inlineStr">
        <is>
          <t>error propagation / correction</t>
        </is>
      </c>
      <c r="K18" s="2" t="inlineStr">
        <is>
          <t>implicit</t>
        </is>
      </c>
      <c r="L18" s="2" t="inlineStr">
        <is>
          <t>submitters + database curators</t>
        </is>
      </c>
      <c r="M18" s="2" t="inlineStr">
        <is>
          <t>correction loop proposed</t>
        </is>
      </c>
      <c r="N18" s="2" t="inlineStr">
        <is>
          <t>high</t>
        </is>
      </c>
      <c r="O18" s="2" t="inlineStr">
        <is>
          <t>no</t>
        </is>
      </c>
      <c r="P18" s="2" t="inlineStr">
        <is>
          <t>yes</t>
        </is>
      </c>
      <c r="Q18" s="2" t="inlineStr">
        <is>
          <t>Metadata errors can propagate to sequences and downstream analyses; database-level detection can interrupt them.</t>
        </is>
      </c>
      <c r="R18" s="3" t="inlineStr">
        <is>
          <t>https://academic.oup.com/bioinformatics/article/36/18/4699/5862012</t>
        </is>
      </c>
      <c r="S18" s="3" t="inlineStr">
        <is>
          <t>https://academic.oup.com/bioinformatics/article/36/18/4699/5862012</t>
        </is>
      </c>
      <c r="T18" s="2" t="inlineStr">
        <is>
          <t>publisher</t>
        </is>
      </c>
      <c r="U18" s="2" t="inlineStr">
        <is>
          <t>Concrete example of metadata as security/reliability infrastructure.</t>
        </is>
      </c>
    </row>
    <row r="19" ht="105" customHeight="1">
      <c r="A19" s="2" t="inlineStr">
        <is>
          <t>D03</t>
        </is>
      </c>
      <c r="B19" s="2" t="inlineStr">
        <is>
          <t>Bioinformatics / data quality</t>
        </is>
      </c>
      <c r="C19" s="2" t="inlineStr">
        <is>
          <t>Contaminant DNA in bacterial sequencing experiments</t>
        </is>
      </c>
      <c r="D19" s="2" t="inlineStr">
        <is>
          <t>2020</t>
        </is>
      </c>
      <c r="E19" s="2" t="inlineStr">
        <is>
          <t>empirical genomics paper</t>
        </is>
      </c>
      <c r="F19" s="2" t="inlineStr">
        <is>
          <t>4,000+ bacterial WGS samples</t>
        </is>
      </c>
      <c r="G19" s="2" t="inlineStr">
        <is>
          <t>sample + sequencing + analysis workflow</t>
        </is>
      </c>
      <c r="H19" s="2" t="inlineStr">
        <is>
          <t>contamination-induced false variants</t>
        </is>
      </c>
      <c r="I19" s="2" t="inlineStr">
        <is>
          <t>large-scale reanalysis</t>
        </is>
      </c>
      <c r="J19" s="2" t="inlineStr">
        <is>
          <t>workflow artifact / false inference</t>
        </is>
      </c>
      <c r="K19" s="2" t="inlineStr">
        <is>
          <t>implicit</t>
        </is>
      </c>
      <c r="L19" s="2" t="inlineStr">
        <is>
          <t>researchers choose filters and interpret outputs</t>
        </is>
      </c>
      <c r="M19" s="2" t="inlineStr">
        <is>
          <t>yes: filtering changes downstream calls</t>
        </is>
      </c>
      <c r="N19" s="2" t="inlineStr">
        <is>
          <t>high</t>
        </is>
      </c>
      <c r="O19" s="2" t="inlineStr">
        <is>
          <t>yes</t>
        </is>
      </c>
      <c r="P19" s="2" t="inlineStr">
        <is>
          <t>yes</t>
        </is>
      </c>
      <c r="Q19" s="2" t="inlineStr">
        <is>
          <t>Small upstream contamination can create hundreds of false positives/negatives downstream.</t>
        </is>
      </c>
      <c r="R19" s="3" t="inlineStr">
        <is>
          <t>https://pmc.ncbi.nlm.nih.gov/articles/PMC7053099/</t>
        </is>
      </c>
      <c r="S19" s="3" t="inlineStr">
        <is>
          <t>https://pmc.ncbi.nlm.nih.gov/articles/PMC7053099/</t>
        </is>
      </c>
      <c r="T19" s="2" t="inlineStr">
        <is>
          <t>full text public</t>
        </is>
      </c>
      <c r="U19" s="2" t="inlineStr">
        <is>
          <t>Strong empirical relational trajectory from physical sample to computational inference.</t>
        </is>
      </c>
    </row>
    <row r="20" ht="105" customHeight="1">
      <c r="A20" s="2" t="inlineStr">
        <is>
          <t>D04</t>
        </is>
      </c>
      <c r="B20" s="2" t="inlineStr">
        <is>
          <t>Bioinformatics / data quality</t>
        </is>
      </c>
      <c r="C20" s="2" t="inlineStr">
        <is>
          <t>Investigating reproducibility and tracking provenance — genomic workflow case study</t>
        </is>
      </c>
      <c r="D20" s="2" t="inlineStr">
        <is>
          <t>2017</t>
        </is>
      </c>
      <c r="E20" s="2" t="inlineStr">
        <is>
          <t>workflow study</t>
        </is>
      </c>
      <c r="F20" s="2" t="inlineStr">
        <is>
          <t>genomic computational workflow</t>
        </is>
      </c>
      <c r="G20" s="2" t="inlineStr">
        <is>
          <t>workflow / software environment</t>
        </is>
      </c>
      <c r="H20" s="2" t="inlineStr">
        <is>
          <t>provenance and reproducibility requirements</t>
        </is>
      </c>
      <c r="I20" s="2" t="inlineStr">
        <is>
          <t>comparative workflow implementation</t>
        </is>
      </c>
      <c r="J20" s="2" t="inlineStr">
        <is>
          <t>context/provenance loss</t>
        </is>
      </c>
      <c r="K20" s="2" t="inlineStr">
        <is>
          <t>implicit</t>
        </is>
      </c>
      <c r="L20" s="2" t="inlineStr">
        <is>
          <t>humans configure workflows; systems capture provenance</t>
        </is>
      </c>
      <c r="M20" s="2" t="inlineStr">
        <is>
          <t>explicit: provenance enables reuse/reproduction</t>
        </is>
      </c>
      <c r="N20" s="2" t="inlineStr">
        <is>
          <t>high</t>
        </is>
      </c>
      <c r="O20" s="2" t="inlineStr">
        <is>
          <t>no</t>
        </is>
      </c>
      <c r="P20" s="2" t="inlineStr">
        <is>
          <t>yes</t>
        </is>
      </c>
      <c r="Q20" s="2" t="inlineStr">
        <is>
          <t>Implicit assumptions and missing provenance can make apparently defined workflows fail.</t>
        </is>
      </c>
      <c r="R20" s="3" t="inlineStr">
        <is>
          <t>https://pmc.ncbi.nlm.nih.gov/articles/PMC5508699/</t>
        </is>
      </c>
      <c r="S20" s="3" t="inlineStr">
        <is>
          <t>https://pmc.ncbi.nlm.nih.gov/articles/PMC5508699/</t>
        </is>
      </c>
      <c r="T20" s="2" t="inlineStr">
        <is>
          <t>full text public</t>
        </is>
      </c>
      <c r="U20" s="2" t="inlineStr">
        <is>
          <t>Direct support for context-preserving information flow.</t>
        </is>
      </c>
    </row>
    <row r="21" ht="105" customHeight="1">
      <c r="A21" s="2" t="inlineStr">
        <is>
          <t>D05</t>
        </is>
      </c>
      <c r="B21" s="2" t="inlineStr">
        <is>
          <t>Bioinformatics / data quality</t>
        </is>
      </c>
      <c r="C21" s="2" t="inlineStr">
        <is>
          <t>Ten common issues with reference sequence databases and how to mitigate them</t>
        </is>
      </c>
      <c r="D21" s="2" t="inlineStr">
        <is>
          <t>2024</t>
        </is>
      </c>
      <c r="E21" s="2" t="inlineStr">
        <is>
          <t>review</t>
        </is>
      </c>
      <c r="F21" s="2" t="inlineStr">
        <is>
          <t>reference sequence databases</t>
        </is>
      </c>
      <c r="G21" s="2" t="inlineStr">
        <is>
          <t>data infrastructure</t>
        </is>
      </c>
      <c r="H21" s="2" t="inlineStr">
        <is>
          <t>contamination, misannotation, incompleteness, taxonomic issues</t>
        </is>
      </c>
      <c r="I21" s="2" t="inlineStr">
        <is>
          <t>review + mitigation guidance</t>
        </is>
      </c>
      <c r="J21" s="2" t="inlineStr">
        <is>
          <t>data quality / context</t>
        </is>
      </c>
      <c r="K21" s="2" t="inlineStr">
        <is>
          <t>implicit</t>
        </is>
      </c>
      <c r="L21" s="2" t="inlineStr">
        <is>
          <t>curators/users as quality-control participants</t>
        </is>
      </c>
      <c r="M21" s="2" t="inlineStr">
        <is>
          <t>mitigations/correction</t>
        </is>
      </c>
      <c r="N21" s="2" t="inlineStr">
        <is>
          <t>high</t>
        </is>
      </c>
      <c r="O21" s="2" t="inlineStr">
        <is>
          <t>no</t>
        </is>
      </c>
      <c r="P21" s="2" t="inlineStr">
        <is>
          <t>partial</t>
        </is>
      </c>
      <c r="Q21" s="2" t="inlineStr">
        <is>
          <t>Reference databases are active infrastructures whose errors alter downstream inference.</t>
        </is>
      </c>
      <c r="R21" s="3" t="inlineStr">
        <is>
          <t>https://www.frontiersin.org/journals/bioinformatics/articles/10.3389/fbinf.2024.1278228/full</t>
        </is>
      </c>
      <c r="S21" s="3" t="inlineStr">
        <is>
          <t>https://www.frontiersin.org/journals/bioinformatics/articles/10.3389/fbinf.2024.1278228/full</t>
        </is>
      </c>
      <c r="T21" s="2" t="inlineStr">
        <is>
          <t>full text public</t>
        </is>
      </c>
      <c r="U21" s="2" t="inlineStr">
        <is>
          <t>Shows biological data risk is relational even absent AI.</t>
        </is>
      </c>
    </row>
    <row r="22" ht="105" customHeight="1">
      <c r="A22" s="2" t="inlineStr">
        <is>
          <t>M01</t>
        </is>
      </c>
      <c r="B22" s="2" t="inlineStr">
        <is>
          <t>Metascience / benchmark validity</t>
        </is>
      </c>
      <c r="C22" s="2" t="inlineStr">
        <is>
          <t>The Benchmarking Epistemology: Construct Validity for Evaluating ML Models</t>
        </is>
      </c>
      <c r="D22" s="2" t="inlineStr">
        <is>
          <t>2025</t>
        </is>
      </c>
      <c r="E22" s="2" t="inlineStr">
        <is>
          <t>measurement theory / ML paper</t>
        </is>
      </c>
      <c r="F22" s="2" t="inlineStr">
        <is>
          <t>ML benchmark inference</t>
        </is>
      </c>
      <c r="G22" s="2" t="inlineStr">
        <is>
          <t>benchmark -&gt; theoretical construct</t>
        </is>
      </c>
      <c r="H22" s="2" t="inlineStr">
        <is>
          <t>conditions under which scores support broader claims</t>
        </is>
      </c>
      <c r="I22" s="2" t="inlineStr">
        <is>
          <t>measurement-theory analysis + case studies</t>
        </is>
      </c>
      <c r="J22" s="2" t="inlineStr">
        <is>
          <t>construct validity</t>
        </is>
      </c>
      <c r="K22" s="2" t="inlineStr">
        <is>
          <t>no</t>
        </is>
      </c>
      <c r="L22" s="2" t="inlineStr">
        <is>
          <t>human benchmark designers define constructs</t>
        </is>
      </c>
      <c r="M22" s="2" t="inlineStr">
        <is>
          <t>NA</t>
        </is>
      </c>
      <c r="N22" s="2" t="inlineStr">
        <is>
          <t>very high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Benchmark scores only support broader claims through explicit assumptions about tasks, distributions, and constructs.</t>
        </is>
      </c>
      <c r="R22" s="3" t="inlineStr">
        <is>
          <t>https://arxiv.org/abs/2510.23191</t>
        </is>
      </c>
      <c r="S22" s="3" t="inlineStr">
        <is>
          <t>https://arxiv.org/pdf/2510.23191</t>
        </is>
      </c>
      <c r="T22" s="2" t="inlineStr">
        <is>
          <t>full text public</t>
        </is>
      </c>
      <c r="U22" s="2" t="inlineStr">
        <is>
          <t>Direct conceptual foundation for claim-demonstration distance.</t>
        </is>
      </c>
    </row>
    <row r="23" ht="105" customHeight="1">
      <c r="A23" s="2" t="inlineStr">
        <is>
          <t>M02</t>
        </is>
      </c>
      <c r="B23" s="2" t="inlineStr">
        <is>
          <t>Metascience / benchmark validity</t>
        </is>
      </c>
      <c r="C23" s="2" t="inlineStr">
        <is>
          <t>Measuring what Matters: Construct Validity in LLM Benchmarks</t>
        </is>
      </c>
      <c r="D23" s="2" t="inlineStr">
        <is>
          <t>2025</t>
        </is>
      </c>
      <c r="E23" s="2" t="inlineStr">
        <is>
          <t>systematic review</t>
        </is>
      </c>
      <c r="F23" s="2" t="inlineStr">
        <is>
          <t>445 LLM benchmarks</t>
        </is>
      </c>
      <c r="G23" s="2" t="inlineStr">
        <is>
          <t>field / benchmark ecosystem</t>
        </is>
      </c>
      <c r="H23" s="2" t="inlineStr">
        <is>
          <t>validity of benchmark claims</t>
        </is>
      </c>
      <c r="I23" s="2" t="inlineStr">
        <is>
          <t>systematic expert review</t>
        </is>
      </c>
      <c r="J23" s="2" t="inlineStr">
        <is>
          <t>construct validity</t>
        </is>
      </c>
      <c r="K23" s="2" t="inlineStr">
        <is>
          <t>no</t>
        </is>
      </c>
      <c r="L23" s="2" t="inlineStr">
        <is>
          <t>benchmark creators/reviewers</t>
        </is>
      </c>
      <c r="M23" s="2" t="inlineStr">
        <is>
          <t>NA</t>
        </is>
      </c>
      <c r="N23" s="2" t="inlineStr">
        <is>
          <t>very high</t>
        </is>
      </c>
      <c r="O23" s="2" t="inlineStr">
        <is>
          <t>no</t>
        </is>
      </c>
      <c r="P23" s="2" t="inlineStr">
        <is>
          <t>yes</t>
        </is>
      </c>
      <c r="Q23" s="2" t="inlineStr">
        <is>
          <t>Many benchmarks have design/claim patterns that undermine construct validity.</t>
        </is>
      </c>
      <c r="R23" s="3" t="inlineStr">
        <is>
          <t>https://arxiv.org/abs/2511.04703</t>
        </is>
      </c>
      <c r="S23" s="3" t="inlineStr">
        <is>
          <t>https://arxiv.org/pdf/2511.04703</t>
        </is>
      </c>
      <c r="T23" s="2" t="inlineStr">
        <is>
          <t>full text public</t>
        </is>
      </c>
      <c r="U23" s="2" t="inlineStr">
        <is>
          <t>Provides external comparator for our validity concerns.</t>
        </is>
      </c>
    </row>
    <row r="24" ht="105" customHeight="1">
      <c r="A24" s="2" t="inlineStr">
        <is>
          <t>M03</t>
        </is>
      </c>
      <c r="B24" s="2" t="inlineStr">
        <is>
          <t>Metascience / benchmark validity</t>
        </is>
      </c>
      <c r="C24" s="2" t="inlineStr">
        <is>
          <t>The Benchmark Lottery</t>
        </is>
      </c>
      <c r="D24" s="2" t="inlineStr">
        <is>
          <t>2021</t>
        </is>
      </c>
      <c r="E24" s="2" t="inlineStr">
        <is>
          <t>empirical ML methodology paper</t>
        </is>
      </c>
      <c r="F24" s="2" t="inlineStr">
        <is>
          <t>benchmark selection across ML domains</t>
        </is>
      </c>
      <c r="G24" s="2" t="inlineStr">
        <is>
          <t>benchmark ecosystem</t>
        </is>
      </c>
      <c r="H24" s="2" t="inlineStr">
        <is>
          <t>fragility of rankings to benchmark choice</t>
        </is>
      </c>
      <c r="I24" s="2" t="inlineStr">
        <is>
          <t>multi-domain empirical comparison</t>
        </is>
      </c>
      <c r="J24" s="2" t="inlineStr">
        <is>
          <t>measurement fragility</t>
        </is>
      </c>
      <c r="K24" s="2" t="inlineStr">
        <is>
          <t>no</t>
        </is>
      </c>
      <c r="L24" s="2" t="inlineStr">
        <is>
          <t>research community selects tasks/metrics</t>
        </is>
      </c>
      <c r="M24" s="2" t="inlineStr">
        <is>
          <t>NA</t>
        </is>
      </c>
      <c r="N24" s="2" t="inlineStr">
        <is>
          <t>high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Relative superiority can reverse with benchmark/task choice; benchmarks encode value judgments about what matters.</t>
        </is>
      </c>
      <c r="R24" s="3" t="inlineStr">
        <is>
          <t>https://arxiv.org/abs/2107.07002</t>
        </is>
      </c>
      <c r="S24" s="3" t="inlineStr">
        <is>
          <t>https://arxiv.org/pdf/2107.07002</t>
        </is>
      </c>
      <c r="T24" s="2" t="inlineStr">
        <is>
          <t>full text public</t>
        </is>
      </c>
      <c r="U24" s="2" t="inlineStr">
        <is>
          <t>Supports proxy-target decoupling and metric dependence.</t>
        </is>
      </c>
    </row>
    <row r="25" ht="105" customHeight="1">
      <c r="A25" s="2" t="inlineStr">
        <is>
          <t>M04</t>
        </is>
      </c>
      <c r="B25" s="2" t="inlineStr">
        <is>
          <t>Metascience / benchmark validity</t>
        </is>
      </c>
      <c r="C25" s="2" t="inlineStr">
        <is>
          <t>Goodhart's Law Applies to NLP Explanation Benchmarks</t>
        </is>
      </c>
      <c r="D25" s="2" t="inlineStr">
        <is>
          <t>2023</t>
        </is>
      </c>
      <c r="E25" s="2" t="inlineStr">
        <is>
          <t>empirical benchmark critique</t>
        </is>
      </c>
      <c r="F25" s="2" t="inlineStr">
        <is>
          <t>explanation metrics</t>
        </is>
      </c>
      <c r="G25" s="2" t="inlineStr">
        <is>
          <t>metric / benchmark</t>
        </is>
      </c>
      <c r="H25" s="2" t="inlineStr">
        <is>
          <t>whether metrics track intended explanatory quality</t>
        </is>
      </c>
      <c r="I25" s="2" t="inlineStr">
        <is>
          <t>adversarial metric manipulation experiments</t>
        </is>
      </c>
      <c r="J25" s="2" t="inlineStr">
        <is>
          <t>Goodhart / metric gaming</t>
        </is>
      </c>
      <c r="K25" s="2" t="inlineStr">
        <is>
          <t>no</t>
        </is>
      </c>
      <c r="L25" s="2" t="inlineStr">
        <is>
          <t>researchers choose metric; models can exploit it</t>
        </is>
      </c>
      <c r="M25" s="2" t="inlineStr">
        <is>
          <t>NA</t>
        </is>
      </c>
      <c r="N25" s="2" t="inlineStr">
        <is>
          <t>high</t>
        </is>
      </c>
      <c r="O25" s="2" t="inlineStr">
        <is>
          <t>no</t>
        </is>
      </c>
      <c r="P25" s="2" t="inlineStr">
        <is>
          <t>yes</t>
        </is>
      </c>
      <c r="Q25" s="2" t="inlineStr">
        <is>
          <t>Scores can be inflated without improving the target property.</t>
        </is>
      </c>
      <c r="R25" s="3" t="inlineStr">
        <is>
          <t>https://arxiv.org/abs/2308.14272</t>
        </is>
      </c>
      <c r="S25" s="3" t="inlineStr">
        <is>
          <t>https://arxiv.org/pdf/2308.14272</t>
        </is>
      </c>
      <c r="T25" s="2" t="inlineStr">
        <is>
          <t>full text public</t>
        </is>
      </c>
      <c r="U25" s="2" t="inlineStr">
        <is>
          <t>Clean comparator for refusal-rate/benchmark proxy failure.</t>
        </is>
      </c>
    </row>
    <row r="26" ht="105" customHeight="1">
      <c r="A26" s="2" t="inlineStr">
        <is>
          <t>M05</t>
        </is>
      </c>
      <c r="B26" s="2" t="inlineStr">
        <is>
          <t>Metascience / benchmark validity</t>
        </is>
      </c>
      <c r="C26" s="2" t="inlineStr">
        <is>
          <t>General scales unlock AI evaluation with explanatory and predictive power</t>
        </is>
      </c>
      <c r="D26" s="2" t="inlineStr">
        <is>
          <t>2026</t>
        </is>
      </c>
      <c r="E26" s="2" t="inlineStr">
        <is>
          <t>Nature evaluation paper</t>
        </is>
      </c>
      <c r="F26" s="2" t="inlineStr">
        <is>
          <t>15 LLMs, 63 tasks</t>
        </is>
      </c>
      <c r="G26" s="2" t="inlineStr">
        <is>
          <t>cross-benchmark measurement system</t>
        </is>
      </c>
      <c r="H26" s="2" t="inlineStr">
        <is>
          <t>construct + predictive validity across new tasks</t>
        </is>
      </c>
      <c r="I26" s="2" t="inlineStr">
        <is>
          <t>large multi-benchmark empirical study</t>
        </is>
      </c>
      <c r="J26" s="2" t="inlineStr">
        <is>
          <t>predictive measurement</t>
        </is>
      </c>
      <c r="K26" s="2" t="inlineStr">
        <is>
          <t>no</t>
        </is>
      </c>
      <c r="L26" s="2" t="inlineStr">
        <is>
          <t>experts/rubrics define demands</t>
        </is>
      </c>
      <c r="M26" s="2" t="inlineStr">
        <is>
          <t>NA</t>
        </is>
      </c>
      <c r="N26" s="2" t="inlineStr">
        <is>
          <t>very high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Cross-task latent scales can improve out-of-distribution prediction versus benchmark-specific scores.</t>
        </is>
      </c>
      <c r="R26" s="3" t="inlineStr">
        <is>
          <t>https://doi.org/10.1038/s41586-026-10303-2</t>
        </is>
      </c>
      <c r="S26" s="3" t="inlineStr">
        <is>
          <t>https://doi.org/10.1038/s41586-026-10303-2</t>
        </is>
      </c>
      <c r="T26" s="2" t="inlineStr">
        <is>
          <t>publisher</t>
        </is>
      </c>
      <c r="U26" s="2" t="inlineStr">
        <is>
          <t>Shows what stronger predictive-validity evaluation could look like.</t>
        </is>
      </c>
    </row>
    <row r="27" ht="105" customHeight="1">
      <c r="A27" s="2" t="inlineStr">
        <is>
          <t>O01</t>
        </is>
      </c>
      <c r="B27" s="2" t="inlineStr">
        <is>
          <t>Ordinary successful biology / positive controls</t>
        </is>
      </c>
      <c r="C27" s="2" t="inlineStr">
        <is>
          <t>Automated DBTL pipeline for microbial fine chemicals</t>
        </is>
      </c>
      <c r="D27" s="2" t="inlineStr">
        <is>
          <t>2018</t>
        </is>
      </c>
      <c r="E27" s="2" t="inlineStr">
        <is>
          <t>experimental synthetic biology</t>
        </is>
      </c>
      <c r="F27" s="2" t="inlineStr">
        <is>
          <t>microbial engineering pipeline</t>
        </is>
      </c>
      <c r="G27" s="2" t="inlineStr">
        <is>
          <t>physical closed-loop workflow</t>
        </is>
      </c>
      <c r="H27" s="2" t="inlineStr">
        <is>
          <t>integrated design-build-test-learn performance</t>
        </is>
      </c>
      <c r="I27" s="2" t="inlineStr">
        <is>
          <t>automated physical experiments across two cycles</t>
        </is>
      </c>
      <c r="J27" s="2" t="inlineStr">
        <is>
          <t>successful adaptive workflow</t>
        </is>
      </c>
      <c r="K27" s="2" t="inlineStr">
        <is>
          <t>no</t>
        </is>
      </c>
      <c r="L27" s="2" t="inlineStr">
        <is>
          <t>humans design system; automation executes/integrates</t>
        </is>
      </c>
      <c r="M27" s="2" t="inlineStr">
        <is>
          <t>explicit experimental feedback changes next design</t>
        </is>
      </c>
      <c r="N27" s="2" t="inlineStr">
        <is>
          <t>high</t>
        </is>
      </c>
      <c r="O27" s="2" t="inlineStr">
        <is>
          <t>yes</t>
        </is>
      </c>
      <c r="P27" s="2" t="inlineStr">
        <is>
          <t>yes</t>
        </is>
      </c>
      <c r="Q27" s="2" t="inlineStr">
        <is>
          <t>Two integrated cycles improved production ~500-fold; capability emerges from a functioning loop.</t>
        </is>
      </c>
      <c r="R27" s="3" t="inlineStr">
        <is>
          <t>https://www.nature.com/articles/s42003-018-0076-9</t>
        </is>
      </c>
      <c r="S27" s="3" t="inlineStr">
        <is>
          <t>https://www.nature.com/articles/s42003-018-0076-9.pdf</t>
        </is>
      </c>
      <c r="T27" s="2" t="inlineStr">
        <is>
          <t>open access</t>
        </is>
      </c>
      <c r="U27" s="2" t="inlineStr">
        <is>
          <t>Positive control for what successful relational composition looks like.</t>
        </is>
      </c>
    </row>
    <row r="28" ht="105" customHeight="1">
      <c r="A28" s="2" t="inlineStr">
        <is>
          <t>O02</t>
        </is>
      </c>
      <c r="B28" s="2" t="inlineStr">
        <is>
          <t>Ordinary successful biology / positive controls</t>
        </is>
      </c>
      <c r="C28" s="2" t="inlineStr">
        <is>
          <t>Closing the loop: autonomous test-learn cycle on robotic platform</t>
        </is>
      </c>
      <c r="D28" s="2" t="inlineStr">
        <is>
          <t>2025</t>
        </is>
      </c>
      <c r="E28" s="2" t="inlineStr">
        <is>
          <t>experimental bioautomation</t>
        </is>
      </c>
      <c r="F28" s="2" t="inlineStr">
        <is>
          <t>bacterial expression optimization</t>
        </is>
      </c>
      <c r="G28" s="2" t="inlineStr">
        <is>
          <t>physical closed-loop workflow</t>
        </is>
      </c>
      <c r="H28" s="2" t="inlineStr">
        <is>
          <t>automated measurement -&gt; optimization -&gt; new experiment</t>
        </is>
      </c>
      <c r="I28" s="2" t="inlineStr">
        <is>
          <t>robotic wet-lab demonstration</t>
        </is>
      </c>
      <c r="J28" s="2" t="inlineStr">
        <is>
          <t>closed-loop learning</t>
        </is>
      </c>
      <c r="K28" s="2" t="inlineStr">
        <is>
          <t>no</t>
        </is>
      </c>
      <c r="L28" s="2" t="inlineStr">
        <is>
          <t>humans establish objectives; system autonomously updates parameters</t>
        </is>
      </c>
      <c r="M28" s="2" t="inlineStr">
        <is>
          <t>explicit and observed</t>
        </is>
      </c>
      <c r="N28" s="2" t="inlineStr">
        <is>
          <t>high</t>
        </is>
      </c>
      <c r="O28" s="2" t="inlineStr">
        <is>
          <t>yes</t>
        </is>
      </c>
      <c r="P28" s="2" t="inlineStr">
        <is>
          <t>yes</t>
        </is>
      </c>
      <c r="Q28" s="2" t="inlineStr">
        <is>
          <t>Feedback is usable because measurement, database, optimizer, and actuator are deliberately connected.</t>
        </is>
      </c>
      <c r="R28" s="3" t="inlineStr">
        <is>
          <t>https://www.frontiersin.org/journals/bioengineering-and-biotechnology/articles/10.3389/fbioe.2024.1528224/full</t>
        </is>
      </c>
      <c r="S28" s="3" t="inlineStr">
        <is>
          <t>https://www.frontiersin.org/journals/bioengineering-and-biotechnology/articles/10.3389/fbioe.2024.1528224/pdf</t>
        </is>
      </c>
      <c r="T28" s="2" t="inlineStr">
        <is>
          <t>full text public</t>
        </is>
      </c>
      <c r="U28" s="2" t="inlineStr">
        <is>
          <t>Positive control for feedback -&gt; update, not merely feedback availability.</t>
        </is>
      </c>
    </row>
    <row r="29" ht="105" customHeight="1">
      <c r="A29" s="2" t="inlineStr">
        <is>
          <t>O03</t>
        </is>
      </c>
      <c r="B29" s="2" t="inlineStr">
        <is>
          <t>Ordinary successful biology / positive controls</t>
        </is>
      </c>
      <c r="C29" s="2" t="inlineStr">
        <is>
          <t>An engineering biology approach to automated workflow and biodesign</t>
        </is>
      </c>
      <c r="D29" s="2" t="inlineStr">
        <is>
          <t>2024</t>
        </is>
      </c>
      <c r="E29" s="2" t="inlineStr">
        <is>
          <t>workflow architecture paper</t>
        </is>
      </c>
      <c r="F29" s="2" t="inlineStr">
        <is>
          <t>London Biofoundry workflows</t>
        </is>
      </c>
      <c r="G29" s="2" t="inlineStr">
        <is>
          <t>distributed automated workflow</t>
        </is>
      </c>
      <c r="H29" s="2" t="inlineStr">
        <is>
          <t>orchestration, sequencing, standards, data capture</t>
        </is>
      </c>
      <c r="I29" s="2" t="inlineStr">
        <is>
          <t>implemented architecture + example</t>
        </is>
      </c>
      <c r="J29" s="2" t="inlineStr">
        <is>
          <t>workflow coordination</t>
        </is>
      </c>
      <c r="K29" s="2" t="inlineStr">
        <is>
          <t>no</t>
        </is>
      </c>
      <c r="L29" s="2" t="inlineStr">
        <is>
          <t>humans define workflows; orchestrators coordinate resources</t>
        </is>
      </c>
      <c r="M29" s="2" t="inlineStr">
        <is>
          <t>explicit workflow state/data capture</t>
        </is>
      </c>
      <c r="N29" s="2" t="inlineStr">
        <is>
          <t>high</t>
        </is>
      </c>
      <c r="O29" s="2" t="inlineStr">
        <is>
          <t>yes</t>
        </is>
      </c>
      <c r="P29" s="2" t="inlineStr">
        <is>
          <t>partial</t>
        </is>
      </c>
      <c r="Q29" s="2" t="inlineStr">
        <is>
          <t>Reliability requires explicit instruction sets, logic, standards, and resource orchestration across interfaces.</t>
        </is>
      </c>
      <c r="R29" s="3" t="inlineStr">
        <is>
          <t>https://pmc.ncbi.nlm.nih.gov/articles/PMC11210394/</t>
        </is>
      </c>
      <c r="S29" s="3" t="inlineStr">
        <is>
          <t>https://pmc.ncbi.nlm.nih.gov/articles/PMC11210394/</t>
        </is>
      </c>
      <c r="T29" s="2" t="inlineStr">
        <is>
          <t>full text public</t>
        </is>
      </c>
      <c r="U29" s="2" t="inlineStr">
        <is>
          <t>Shows relationships must be engineered, not assumed.</t>
        </is>
      </c>
    </row>
    <row r="30" ht="105" customHeight="1">
      <c r="A30" s="2" t="inlineStr">
        <is>
          <t>O04</t>
        </is>
      </c>
      <c r="B30" s="2" t="inlineStr">
        <is>
          <t>Ordinary successful biology / positive controls</t>
        </is>
      </c>
      <c r="C30" s="2" t="inlineStr">
        <is>
          <t>Integrated genomic surveillance in local public health authorities</t>
        </is>
      </c>
      <c r="D30" s="2" t="inlineStr">
        <is>
          <t>2025</t>
        </is>
      </c>
      <c r="E30" s="2" t="inlineStr">
        <is>
          <t>mixed-methods implementation study</t>
        </is>
      </c>
      <c r="F30" s="2" t="inlineStr">
        <is>
          <t>local public health genomic surveillance</t>
        </is>
      </c>
      <c r="G30" s="2" t="inlineStr">
        <is>
          <t>multi-organization workflow</t>
        </is>
      </c>
      <c r="H30" s="2" t="inlineStr">
        <is>
          <t>integration of WGS + epidemiology into action</t>
        </is>
      </c>
      <c r="I30" s="2" t="inlineStr">
        <is>
          <t>survey + case studies</t>
        </is>
      </c>
      <c r="J30" s="2" t="inlineStr">
        <is>
          <t>operational integration</t>
        </is>
      </c>
      <c r="K30" s="2" t="inlineStr">
        <is>
          <t>no</t>
        </is>
      </c>
      <c r="L30" s="2" t="inlineStr">
        <is>
          <t>laboratory, epidemiology, public health decision-makers</t>
        </is>
      </c>
      <c r="M30" s="2" t="inlineStr">
        <is>
          <t>explicit: turnaround/interpretation enable action</t>
        </is>
      </c>
      <c r="N30" s="2" t="inlineStr">
        <is>
          <t>high</t>
        </is>
      </c>
      <c r="O30" s="2" t="inlineStr">
        <is>
          <t>yes</t>
        </is>
      </c>
      <c r="P30" s="2" t="inlineStr">
        <is>
          <t>yes</t>
        </is>
      </c>
      <c r="Q30" s="2" t="inlineStr">
        <is>
          <t>Value depends not on sequencing alone but on turnaround, interpretation, sampling strategy, and decision integration.</t>
        </is>
      </c>
      <c r="R30" s="3" t="inlineStr">
        <is>
          <t>https://pmc.ncbi.nlm.nih.gov/articles/PMC11969963/</t>
        </is>
      </c>
      <c r="S30" s="3" t="inlineStr">
        <is>
          <t>https://pmc.ncbi.nlm.nih.gov/articles/PMC11969963/</t>
        </is>
      </c>
      <c r="T30" s="2" t="inlineStr">
        <is>
          <t>full text public</t>
        </is>
      </c>
      <c r="U30" s="2" t="inlineStr">
        <is>
          <t>Positive control for information -&gt; interpretation -&gt; public-health action.</t>
        </is>
      </c>
    </row>
    <row r="31" ht="105" customHeight="1">
      <c r="A31" s="2" t="inlineStr">
        <is>
          <t>O05</t>
        </is>
      </c>
      <c r="B31" s="2" t="inlineStr">
        <is>
          <t>Ordinary successful biology / positive controls</t>
        </is>
      </c>
      <c r="C31" s="2" t="inlineStr">
        <is>
          <t>WHO Global Genomic Surveillance Strategy</t>
        </is>
      </c>
      <c r="D31" s="2" t="inlineStr">
        <is>
          <t>2022</t>
        </is>
      </c>
      <c r="E31" s="2" t="inlineStr">
        <is>
          <t>global public-health strategy</t>
        </is>
      </c>
      <c r="F31" s="2" t="inlineStr">
        <is>
          <t>pathogen genomic surveillance</t>
        </is>
      </c>
      <c r="G31" s="2" t="inlineStr">
        <is>
          <t>ecosystem / global network</t>
        </is>
      </c>
      <c r="H31" s="2" t="inlineStr">
        <is>
          <t>timely sequencing, sharing, interpretation, response</t>
        </is>
      </c>
      <c r="I31" s="2" t="inlineStr">
        <is>
          <t>strategy + monitoring indicators</t>
        </is>
      </c>
      <c r="J31" s="2" t="inlineStr">
        <is>
          <t>distributed surveillance</t>
        </is>
      </c>
      <c r="K31" s="2" t="inlineStr">
        <is>
          <t>no</t>
        </is>
      </c>
      <c r="L31" s="2" t="inlineStr">
        <is>
          <t>labs, public health, states, One Health partners</t>
        </is>
      </c>
      <c r="M31" s="2" t="inlineStr">
        <is>
          <t>explicit monitoring + iterative implementation</t>
        </is>
      </c>
      <c r="N31" s="2" t="inlineStr">
        <is>
          <t>high</t>
        </is>
      </c>
      <c r="O31" s="2" t="inlineStr">
        <is>
          <t>yes</t>
        </is>
      </c>
      <c r="P31" s="2" t="inlineStr">
        <is>
          <t>partial</t>
        </is>
      </c>
      <c r="Q31" s="2" t="inlineStr">
        <is>
          <t>System value requires access, sharing, interpretation, and response across institutions.</t>
        </is>
      </c>
      <c r="R31" s="3" t="inlineStr">
        <is>
          <t>https://www.who.int/initiatives/genomic-surveillance-strategy</t>
        </is>
      </c>
      <c r="S31" s="3" t="inlineStr">
        <is>
          <t>https://www.who.int/initiatives/genomic-surveillance-strategy</t>
        </is>
      </c>
      <c r="T31" s="2" t="inlineStr">
        <is>
          <t>public strategy</t>
        </is>
      </c>
      <c r="U31" s="2" t="inlineStr">
        <is>
          <t>Positive-control example of sensing network designed around information flow and action.</t>
        </is>
      </c>
    </row>
  </sheetData>
  <autoFilter ref="A1:U3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5" t="inlineStr">
        <is>
          <t>Comparator corpus summary — v1.6</t>
        </is>
      </c>
    </row>
    <row r="2">
      <c r="A2" s="16" t="inlineStr">
        <is>
          <t>This is a comparator set assembled to test specific questions designed to test whether AI-security patterns differ from mature/adjacent fields. Counts are descriptive, not prevalence estimates.</t>
        </is>
      </c>
    </row>
    <row r="3"/>
    <row r="4">
      <c r="A4" s="17" t="inlineStr">
        <is>
          <t>Domain</t>
        </is>
      </c>
      <c r="B4" s="17" t="inlineStr">
        <is>
          <t>Records</t>
        </is>
      </c>
      <c r="C4" s="17" t="inlineStr">
        <is>
          <t>Near-miss/weak-signal explicit</t>
        </is>
      </c>
      <c r="D4" s="17" t="inlineStr">
        <is>
          <t>Field/physical grounded</t>
        </is>
      </c>
      <c r="E4" s="17" t="inlineStr">
        <is>
          <t>Relationship emphasis = yes</t>
        </is>
      </c>
      <c r="F4" s="17" t="inlineStr">
        <is>
          <t>Context/provenance high/very high</t>
        </is>
      </c>
    </row>
    <row r="5">
      <c r="A5" s="2" t="inlineStr">
        <is>
          <t>Traditional biosafety/biosecurity</t>
        </is>
      </c>
      <c r="B5" s="2" t="n">
        <v>5</v>
      </c>
      <c r="C5" s="2" t="n">
        <v>4</v>
      </c>
      <c r="D5" s="2" t="n">
        <v>5</v>
      </c>
      <c r="E5" s="2" t="n">
        <v>5</v>
      </c>
      <c r="F5" s="2" t="n">
        <v>5</v>
      </c>
    </row>
    <row r="6">
      <c r="A6" s="2" t="inlineStr">
        <is>
          <t>Safety engineering / human factors</t>
        </is>
      </c>
      <c r="B6" s="2" t="n">
        <v>5</v>
      </c>
      <c r="C6" s="2" t="n">
        <v>2</v>
      </c>
      <c r="D6" s="2" t="n">
        <v>5</v>
      </c>
      <c r="E6" s="2" t="n">
        <v>1</v>
      </c>
      <c r="F6" s="2" t="n">
        <v>5</v>
      </c>
    </row>
    <row r="7">
      <c r="A7" s="2" t="inlineStr">
        <is>
          <t>Empirical cybersecurity</t>
        </is>
      </c>
      <c r="B7" s="2" t="n">
        <v>5</v>
      </c>
      <c r="C7" s="2" t="n">
        <v>0</v>
      </c>
      <c r="D7" s="2" t="n">
        <v>5</v>
      </c>
      <c r="E7" s="2" t="n">
        <v>5</v>
      </c>
      <c r="F7" s="2" t="n">
        <v>3</v>
      </c>
    </row>
    <row r="8">
      <c r="A8" s="2" t="inlineStr">
        <is>
          <t>Bioinformatics / data quality</t>
        </is>
      </c>
      <c r="B8" s="2" t="n">
        <v>5</v>
      </c>
      <c r="C8" s="2" t="n">
        <v>0</v>
      </c>
      <c r="D8" s="2" t="n">
        <v>1</v>
      </c>
      <c r="E8" s="2" t="n">
        <v>3</v>
      </c>
      <c r="F8" s="2" t="n">
        <v>5</v>
      </c>
    </row>
    <row r="9">
      <c r="A9" s="2" t="inlineStr">
        <is>
          <t>Metascience / benchmark validity</t>
        </is>
      </c>
      <c r="B9" s="2" t="n">
        <v>5</v>
      </c>
      <c r="C9" s="2" t="n">
        <v>0</v>
      </c>
      <c r="D9" s="2" t="n">
        <v>0</v>
      </c>
      <c r="E9" s="2" t="n">
        <v>4</v>
      </c>
      <c r="F9" s="2" t="n">
        <v>5</v>
      </c>
    </row>
    <row r="10">
      <c r="A10" s="2" t="inlineStr">
        <is>
          <t>Ordinary successful biology / positive controls</t>
        </is>
      </c>
      <c r="B10" s="2" t="n">
        <v>5</v>
      </c>
      <c r="C10" s="2" t="n">
        <v>0</v>
      </c>
      <c r="D10" s="2" t="n">
        <v>5</v>
      </c>
      <c r="E10" s="2" t="n">
        <v>3</v>
      </c>
      <c r="F10" s="2" t="n">
        <v>5</v>
      </c>
    </row>
    <row r="11"/>
    <row r="12">
      <c r="A12" s="12" t="inlineStr">
        <is>
          <t>Cross-domain observations</t>
        </is>
      </c>
    </row>
    <row r="13">
      <c r="A13" s="2" t="inlineStr">
        <is>
          <t>1</t>
        </is>
      </c>
      <c r="B13" s="2" t="inlineStr">
        <is>
          <t>Mature safety fields treat near misses and weak signals as primary evidence, not noise.</t>
        </is>
      </c>
      <c r="C13" s="2" t="inlineStr">
        <is>
          <t>WHO/CDC biosafety and HRO sources explicitly use near misses to revise risk assessment, procedures, training, and controls.</t>
        </is>
      </c>
    </row>
    <row r="14">
      <c r="A14" s="2" t="inlineStr">
        <is>
          <t>2</t>
        </is>
      </c>
      <c r="B14" s="2" t="inlineStr">
        <is>
          <t>System boundary is routinely wider than the individual component.</t>
        </is>
      </c>
      <c r="C14" s="2" t="inlineStr">
        <is>
          <t>STAMP/STPA, HRO, public-health surveillance, and empirical cyber work model interactions among technical, human, organizational, and environmental components.</t>
        </is>
      </c>
    </row>
    <row r="15">
      <c r="A15" s="2" t="inlineStr">
        <is>
          <t>3</t>
        </is>
      </c>
      <c r="B15" s="2" t="inlineStr">
        <is>
          <t>Field observation and incident data are core validation strategies in cybersecurity and safety practice.</t>
        </is>
      </c>
      <c r="C15" s="2" t="inlineStr">
        <is>
          <t>WINE, DBIR, incident corpora, and human-subject cyber ranges aim to learn from deployed or realistic systems rather than infer real-world security solely from proxy tasks.</t>
        </is>
      </c>
    </row>
    <row r="16">
      <c r="A16" s="2" t="inlineStr">
        <is>
          <t>4</t>
        </is>
      </c>
      <c r="B16" s="2" t="inlineStr">
        <is>
          <t>Bioinformatics already contains clear empirical examples of relational error propagation.</t>
        </is>
      </c>
      <c r="C16" s="2" t="inlineStr">
        <is>
          <t>Misannotation, contamination, missing provenance, and reference bias show how upstream context changes downstream biological inference.</t>
        </is>
      </c>
    </row>
    <row r="17">
      <c r="A17" s="2" t="inlineStr">
        <is>
          <t>5</t>
        </is>
      </c>
      <c r="B17" s="2" t="inlineStr">
        <is>
          <t>Evaluation-science literature independently identifies the same proxy-to-claim problem.</t>
        </is>
      </c>
      <c r="C17" s="2" t="inlineStr">
        <is>
          <t>Construct-validity, benchmark-lottery, Goodhart, and predictive-scale work all distinguish local score validity from broader inference.</t>
        </is>
      </c>
    </row>
    <row r="18">
      <c r="A18" s="2" t="inlineStr">
        <is>
          <t>6</t>
        </is>
      </c>
      <c r="B18" s="2" t="inlineStr">
        <is>
          <t>Successful biological systems engineer feedback paths deliberately.</t>
        </is>
      </c>
      <c r="C18" s="2" t="inlineStr">
        <is>
          <t>DBTL and genomic surveillance examples show that sensing, interpretation, authority, orchestration, and update must all connect for feedback to become learning/action.</t>
        </is>
      </c>
    </row>
  </sheetData>
  <mergeCells count="8">
    <mergeCell ref="C13:F13"/>
    <mergeCell ref="A2:F2"/>
    <mergeCell ref="C18:F18"/>
    <mergeCell ref="C17:F17"/>
    <mergeCell ref="C16:F16"/>
    <mergeCell ref="C15:F15"/>
    <mergeCell ref="A12:F12"/>
    <mergeCell ref="C14:F1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8" customWidth="1" min="2" max="2"/>
    <col width="68" customWidth="1" min="3" max="3"/>
    <col width="55" customWidth="1" min="4" max="4"/>
  </cols>
  <sheetData>
    <row r="1">
      <c r="A1" s="17" t="inlineStr">
        <is>
          <t>Finding / hypothesis</t>
        </is>
      </c>
      <c r="B1" s="17" t="inlineStr">
        <is>
          <t>Comparator evidence</t>
        </is>
      </c>
      <c r="C1" s="17" t="inlineStr">
        <is>
          <t>Implication for AI-bio security</t>
        </is>
      </c>
      <c r="D1" s="17" t="inlineStr">
        <is>
          <t>What would weaken it</t>
        </is>
      </c>
    </row>
    <row r="2" ht="115" customHeight="1">
      <c r="A2" s="2" t="inlineStr">
        <is>
          <t>1. The AI-security field is not unique in facing rare catastrophic outcomes; mature safety fields solve this partly by studying near misses and routine variation.</t>
        </is>
      </c>
      <c r="B2" s="2" t="inlineStr">
        <is>
          <t>WHO/CDC biosafety, HRO and safety-engineering sources explicitly treat incidents and near misses as learning opportunities.</t>
        </is>
      </c>
      <c r="C2" s="2" t="inlineStr">
        <is>
          <t>The small-failures strategy is not a speculative departure from safety science; it is consistent with established safety practice.</t>
        </is>
      </c>
      <c r="D2" s="2" t="inlineStr">
        <is>
          <t>Evidence that minor/near-miss patterns do not share mechanisms with consequential failures in AI-bio systems.</t>
        </is>
      </c>
    </row>
    <row r="3" ht="115" customHeight="1">
      <c r="A3" s="2" t="inlineStr">
        <is>
          <t>2. Relational/system-level causality is established in adjacent safety disciplines.</t>
        </is>
      </c>
      <c r="B3" s="2" t="inlineStr">
        <is>
          <t>STAMP/STPA, Reason, Safety-II and empirical cybersecurity all model safety as emerging from interactions, controls, defenses, and adaptation.</t>
        </is>
      </c>
      <c r="C3" s="2" t="inlineStr">
        <is>
          <t>Relational biosecurity can be positioned as adapting mature systems-safety logic to AI-enabled biology, not inventing a wholly new causal paradigm.</t>
        </is>
      </c>
      <c r="D3" s="2" t="inlineStr">
        <is>
          <t>If AI-bio outcomes prove well-predicted by isolated component measurements with little configuration dependence.</t>
        </is>
      </c>
    </row>
    <row r="4" ht="115" customHeight="1">
      <c r="A4" s="2" t="inlineStr">
        <is>
          <t>3. AI-security evaluation appears unusually benchmark-centric relative to empirical cybersecurity and mature safety practice.</t>
        </is>
      </c>
      <c r="B4" s="2" t="inlineStr">
        <is>
          <t>WINE/DBIR/incident analyses privilege field telemetry; biosafety uses incident reviews; safety engineering uses control structures and operational feedback.</t>
        </is>
      </c>
      <c r="C4" s="2" t="inlineStr">
        <is>
          <t>A major research opportunity is to complement model benchmarks with observatories, incident/near-miss corpora, and workflow telemetry.</t>
        </is>
      </c>
      <c r="D4" s="2" t="inlineStr">
        <is>
          <t>A representative AI-security corpus showing extensive field/deployment validation already standard.</t>
        </is>
      </c>
    </row>
    <row r="5" ht="115" customHeight="1">
      <c r="A5" s="2" t="inlineStr">
        <is>
          <t>4. Bioinformatics provides pre-AI evidence that meaning can fail to travel with information.</t>
        </is>
      </c>
      <c r="B5" s="2" t="inlineStr">
        <is>
          <t>Annotation error percolation, contamination, provenance loss, and database misclassification demonstrate downstream consequences from upstream metadata/context failures.</t>
        </is>
      </c>
      <c r="C5" s="2" t="inlineStr">
        <is>
          <t>AI-bio security should treat biological data provenance and metadata as active control variables, not background documentation.</t>
        </is>
      </c>
      <c r="D5" s="2" t="inlineStr">
        <is>
          <t>Evidence that modern AI systems reliably recover missing context/provenance without downstream error.</t>
        </is>
      </c>
    </row>
    <row r="6" ht="115" customHeight="1">
      <c r="A6" s="2" t="inlineStr">
        <is>
          <t>5. The claim–evidence-distance problem is a general measurement problem, not specific to AI safety.</t>
        </is>
      </c>
      <c r="B6" s="2" t="inlineStr">
        <is>
          <t>Benchmarking Epistemology, Measuring What Matters, Benchmark Lottery, Goodhart and predictive-scale work independently identify construct/predictive validity failures.</t>
        </is>
      </c>
      <c r="C6" s="2" t="inlineStr">
        <is>
          <t>The critique should be framed as evaluation science: identify the inference chain and validate each arrow.</t>
        </is>
      </c>
      <c r="D6" s="2" t="inlineStr">
        <is>
          <t>Robust prospective evidence that benchmark scores consistently predict real-world security outcomes despite local validity concerns.</t>
        </is>
      </c>
    </row>
    <row r="7" ht="115" customHeight="1">
      <c r="A7" s="2" t="inlineStr">
        <is>
          <t>6. Positive-control biology suggests that feedback only becomes learning when interfaces are engineered for interpretability and action.</t>
        </is>
      </c>
      <c r="B7" s="2" t="inlineStr">
        <is>
          <t>DBTL and genomic-surveillance systems require explicit data capture, orchestration, interpretation, turnaround, and decision pathways.</t>
        </is>
      </c>
      <c r="C7" s="2" t="inlineStr">
        <is>
          <t>Set 3 should code the full feedback chain: availability -&gt; interpretability -&gt; authority -&gt; update -&gt; propagation.</t>
        </is>
      </c>
      <c r="D7" s="2" t="inlineStr">
        <is>
          <t>Examples where mere feedback availability reliably produces learning regardless of system architecture.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6" customWidth="1" min="3" max="3"/>
    <col width="70" customWidth="1" min="4" max="4"/>
  </cols>
  <sheetData>
    <row r="1">
      <c r="A1" s="17" t="inlineStr">
        <is>
          <t>Question</t>
        </is>
      </c>
      <c r="B1" s="17" t="inlineStr">
        <is>
          <t>AI-security corpus signal (v1.5)</t>
        </is>
      </c>
      <c r="C1" s="17" t="inlineStr">
        <is>
          <t>Comparator corpus signal (v1.6)</t>
        </is>
      </c>
      <c r="D1" s="17" t="inlineStr">
        <is>
          <t>Synthesis / testable proposition</t>
        </is>
      </c>
    </row>
    <row r="2" ht="105" customHeight="1">
      <c r="A2" s="2" t="inlineStr">
        <is>
          <t>What is the dominant empirical object?</t>
        </is>
      </c>
      <c r="B2" s="2" t="inlineStr">
        <is>
          <t>Model/benchmark increasingly expanding to agent, human-AI, workflow, physical configurations.</t>
        </is>
      </c>
      <c r="C2" s="2" t="inlineStr">
        <is>
          <t>Often whole workflow, organization, incident lifecycle, deployed ecosystem, or control structure.</t>
        </is>
      </c>
      <c r="D2" s="2" t="inlineStr">
        <is>
          <t>AI security may be in a methodological transition from component evaluation toward systems science.</t>
        </is>
      </c>
    </row>
    <row r="3" ht="105" customHeight="1">
      <c r="A3" s="2" t="inlineStr">
        <is>
          <t>How are rare harms studied?</t>
        </is>
      </c>
      <c r="B3" s="2" t="inlineStr">
        <is>
          <t>Often through proxies, threat scenarios, uplift measures, and bounded evaluations.</t>
        </is>
      </c>
      <c r="C3" s="2" t="inlineStr">
        <is>
          <t>Near misses, routine incidents, field telemetry, layered defenses, control constraints, and recovery patterns.</t>
        </is>
      </c>
      <c r="D3" s="2" t="inlineStr">
        <is>
          <t>Study observable perturbations as leading evidence about mechanisms, without treating them as miniature catastrophes.</t>
        </is>
      </c>
    </row>
    <row r="4" ht="105" customHeight="1">
      <c r="A4" s="2" t="inlineStr">
        <is>
          <t>What validates a security metric?</t>
        </is>
      </c>
      <c r="B4" s="2" t="inlineStr">
        <is>
          <t>Construct validity often stronger than downstream predictive validity.</t>
        </is>
      </c>
      <c r="C4" s="2" t="inlineStr">
        <is>
          <t>Mature empirical security/safety relies more heavily on incidents, field observation, operational outcomes, and iterative review.</t>
        </is>
      </c>
      <c r="D4" s="2" t="inlineStr">
        <is>
          <t>Security-validity should be a distinct layer beyond benchmark construct validity.</t>
        </is>
      </c>
    </row>
    <row r="5" ht="105" customHeight="1">
      <c r="A5" s="2" t="inlineStr">
        <is>
          <t>How is the human modeled?</t>
        </is>
      </c>
      <c r="B5" s="2" t="inlineStr">
        <is>
          <t>Frequently human-in-loop / novice vs expert / persuadable decision-maker.</t>
        </is>
      </c>
      <c r="C5" s="2" t="inlineStr">
        <is>
          <t>Sensor, adaptive controller, source of expertise, reporter, authority holder, error source, and repair mechanism.</t>
        </is>
      </c>
      <c r="D5" s="2" t="inlineStr">
        <is>
          <t>Replace binary human-in-loop with relational human functions and authority/information variables.</t>
        </is>
      </c>
    </row>
    <row r="6" ht="105" customHeight="1">
      <c r="A6" s="2" t="inlineStr">
        <is>
          <t>What role does context/provenance play?</t>
        </is>
      </c>
      <c r="B6" s="2" t="inlineStr">
        <is>
          <t>Increasingly visible but often secondary to model score.</t>
        </is>
      </c>
      <c r="C6" s="2" t="inlineStr">
        <is>
          <t>Central in bioinformatics, WINE, workflow reproducibility, biosafety incident investigation.</t>
        </is>
      </c>
      <c r="D6" s="2" t="inlineStr">
        <is>
          <t>Context-preserving information flow is a candidate cross-domain security primitive.</t>
        </is>
      </c>
    </row>
    <row r="7" ht="105" customHeight="1">
      <c r="A7" s="2" t="inlineStr">
        <is>
          <t>What does feedback mean?</t>
        </is>
      </c>
      <c r="B7" s="2" t="inlineStr">
        <is>
          <t>Feedback commonly present; update only observed in ~half of coded trajectories.</t>
        </is>
      </c>
      <c r="C7" s="2" t="inlineStr">
        <is>
          <t>Successful biological/safety systems explicitly connect observation to interpretation, corrective authority, and changed operations.</t>
        </is>
      </c>
      <c r="D7" s="2" t="inlineStr">
        <is>
          <t>Feedback availability should not be used as a proxy for learning or resilience.</t>
        </is>
      </c>
    </row>
    <row r="8" ht="105" customHeight="1">
      <c r="A8" s="2" t="inlineStr">
        <is>
          <t>What counts as success?</t>
        </is>
      </c>
      <c r="B8" s="2" t="inlineStr">
        <is>
          <t>Higher capability score, better refusal discrimination, task completion, reduced unsafe behavior.</t>
        </is>
      </c>
      <c r="C8" s="2" t="inlineStr">
        <is>
          <t>Avoided harm plus adaptation, reproducibility, recovery, learning, stable operations, and actionable information flow.</t>
        </is>
      </c>
      <c r="D8" s="2" t="inlineStr">
        <is>
          <t>AI-bio safety metrics may need outcome families rather than a single capability/safety score.</t>
        </is>
      </c>
    </row>
    <row r="9" ht="105" customHeight="1">
      <c r="A9" s="2" t="inlineStr">
        <is>
          <t>Where is policy leverage?</t>
        </is>
      </c>
      <c r="B9" s="2" t="inlineStr">
        <is>
          <t>Thresholds, model release, access, safeguards, screening, training.</t>
        </is>
      </c>
      <c r="C9" s="2" t="inlineStr">
        <is>
          <t>Reporting systems, controls, workflow architecture, organizational authority, incident learning, standards, culture.</t>
        </is>
      </c>
      <c r="D9" s="2" t="inlineStr">
        <is>
          <t>Policy can target relationships and information/authority pathways, not only model access or outputs.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0" customWidth="1" min="3" max="3"/>
  </cols>
  <sheetData>
    <row r="1">
      <c r="A1" s="6" t="inlineStr">
        <is>
          <t>Corpus / domain</t>
        </is>
      </c>
      <c r="B1" s="6" t="inlineStr">
        <is>
          <t>N</t>
        </is>
      </c>
      <c r="C1" s="6" t="inlineStr">
        <is>
          <t>Purpose / sampling note</t>
        </is>
      </c>
    </row>
    <row r="2">
      <c r="A2" s="2" t="inlineStr">
        <is>
          <t>Set 1 funding ecosystem</t>
        </is>
      </c>
      <c r="B2" s="2" t="n">
        <v>50</v>
      </c>
      <c r="C2" s="2" t="inlineStr">
        <is>
          <t>Existing funder/problem-framing corpus.</t>
        </is>
      </c>
    </row>
    <row r="3">
      <c r="A3" s="2" t="inlineStr">
        <is>
          <t>Set 2 AI-bio evaluations</t>
        </is>
      </c>
      <c r="B3" s="2" t="n">
        <v>42</v>
      </c>
      <c r="C3" s="2" t="inlineStr">
        <is>
          <t>Existing evaluation corpus.</t>
        </is>
      </c>
    </row>
    <row r="4">
      <c r="A4" s="2" t="inlineStr">
        <is>
          <t>Set 3 relational trajectories</t>
        </is>
      </c>
      <c r="B4" s="2" t="n">
        <v>42</v>
      </c>
      <c r="C4" s="2" t="inlineStr">
        <is>
          <t>Existing trajectory corpus.</t>
        </is>
      </c>
    </row>
    <row r="5">
      <c r="A5" s="2" t="inlineStr">
        <is>
          <t>Traditional biosafety/biosecurity comparators</t>
        </is>
      </c>
      <c r="B5" s="2" t="n">
        <v>5</v>
      </c>
      <c r="C5" s="2" t="inlineStr">
        <is>
          <t>Normative + operational sources emphasizing risk assessment, incident learning, and culture.</t>
        </is>
      </c>
    </row>
    <row r="6">
      <c r="A6" s="2" t="inlineStr">
        <is>
          <t>Safety engineering / human factors comparators</t>
        </is>
      </c>
      <c r="B6" s="2" t="n">
        <v>5</v>
      </c>
      <c r="C6" s="2" t="inlineStr">
        <is>
          <t>Systems safety, HRO, resilience, and human-error traditions.</t>
        </is>
      </c>
    </row>
    <row r="7">
      <c r="A7" s="2" t="inlineStr">
        <is>
          <t>Empirical cybersecurity comparators</t>
        </is>
      </c>
      <c r="B7" s="2" t="n">
        <v>5</v>
      </c>
      <c r="C7" s="2" t="inlineStr">
        <is>
          <t>Field telemetry, incident corpora, real-world risk, and human cyber operations.</t>
        </is>
      </c>
    </row>
    <row r="8">
      <c r="A8" s="2" t="inlineStr">
        <is>
          <t>Bioinformatics / data-quality comparators</t>
        </is>
      </c>
      <c r="B8" s="2" t="n">
        <v>5</v>
      </c>
      <c r="C8" s="2" t="inlineStr">
        <is>
          <t>Pre-AI evidence on propagation, contamination, provenance, and database quality.</t>
        </is>
      </c>
    </row>
    <row r="9">
      <c r="A9" s="2" t="inlineStr">
        <is>
          <t>Metascience / benchmark-validity comparators</t>
        </is>
      </c>
      <c r="B9" s="2" t="n">
        <v>5</v>
      </c>
      <c r="C9" s="2" t="inlineStr">
        <is>
          <t>Construct validity, predictive validity, benchmark fragility, metric gaming.</t>
        </is>
      </c>
    </row>
    <row r="10">
      <c r="A10" s="2" t="inlineStr">
        <is>
          <t>Ordinary successful biology positive controls</t>
        </is>
      </c>
      <c r="B10" s="2" t="n">
        <v>5</v>
      </c>
      <c r="C10" s="2" t="inlineStr">
        <is>
          <t>Workflows where information/feedback/action relationships support successful operation.</t>
        </is>
      </c>
    </row>
    <row r="11">
      <c r="A11" s="2" t="inlineStr">
        <is>
          <t>Total comparator records</t>
        </is>
      </c>
      <c r="B11" s="2" t="n">
        <v>30</v>
      </c>
      <c r="C11" s="2" t="inlineStr">
        <is>
          <t>Balanced first comparator pilot; not intended as representative literature review.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6" t="inlineStr">
        <is>
          <t>Field</t>
        </is>
      </c>
      <c r="B1" s="6" t="inlineStr">
        <is>
          <t>Definition / coding rule</t>
        </is>
      </c>
    </row>
    <row r="2">
      <c r="A2" s="2" t="inlineStr">
        <is>
          <t>chain_id</t>
        </is>
      </c>
      <c r="B2" s="2" t="inlineStr">
        <is>
          <t>Identifier for matched capability family.</t>
        </is>
      </c>
    </row>
    <row r="3">
      <c r="A3" s="2" t="inlineStr">
        <is>
          <t>capability_family</t>
        </is>
      </c>
      <c r="B3" s="2" t="inlineStr">
        <is>
          <t>Underlying capability or security construct traced across boundaries.</t>
        </is>
      </c>
    </row>
    <row r="4">
      <c r="A4" s="2" t="inlineStr">
        <is>
          <t>match_strength</t>
        </is>
      </c>
      <c r="B4" s="2" t="inlineStr">
        <is>
          <t>Strong = same task/construct; Moderate = closely related workflow capability; Exploratory = broader conceptual family.</t>
        </is>
      </c>
    </row>
    <row r="5">
      <c r="A5" s="2" t="inlineStr">
        <is>
          <t>stage</t>
        </is>
      </c>
      <c r="B5" s="2" t="inlineStr">
        <is>
          <t>Benchmark/proxy; realistic in-silico workflow; human+AI workflow; physical validation; deployed/field.</t>
        </is>
      </c>
    </row>
    <row r="6">
      <c r="A6" s="2" t="inlineStr">
        <is>
          <t>system_boundary</t>
        </is>
      </c>
      <c r="B6" s="2" t="inlineStr">
        <is>
          <t>What is inside the evaluated system at this stage.</t>
        </is>
      </c>
    </row>
    <row r="7">
      <c r="A7" s="2" t="inlineStr">
        <is>
          <t>direct_measure</t>
        </is>
      </c>
      <c r="B7" s="2" t="inlineStr">
        <is>
          <t>What is directly observed.</t>
        </is>
      </c>
    </row>
    <row r="8">
      <c r="A8" s="2" t="inlineStr">
        <is>
          <t>result_direction</t>
        </is>
      </c>
      <c r="B8" s="2" t="inlineStr">
        <is>
          <t>Relative to earlier-stage expectation: attenuates, strengthens, mixed, or reframes.</t>
        </is>
      </c>
    </row>
    <row r="9">
      <c r="A9" s="2" t="inlineStr">
        <is>
          <t>inference_change</t>
        </is>
      </c>
      <c r="B9" s="2" t="inlineStr">
        <is>
          <t>How expanding the boundary changes what can defensibly be claimed.</t>
        </is>
      </c>
    </row>
    <row r="10">
      <c r="A10" s="2" t="inlineStr">
        <is>
          <t>relational_variable</t>
        </is>
      </c>
      <c r="B10" s="2" t="inlineStr">
        <is>
          <t>Interface property that appears to explain the change: context, tools, authority, human skill, physical constraints, feedback, etc.</t>
        </is>
      </c>
    </row>
    <row r="11">
      <c r="A11" s="2" t="inlineStr">
        <is>
          <t>security_link</t>
        </is>
      </c>
      <c r="B11" s="2" t="inlineStr">
        <is>
          <t>How directly the observed result bears on consequential security outcomes.</t>
        </is>
      </c>
    </row>
    <row r="12">
      <c r="A12" s="2" t="inlineStr">
        <is>
          <t>source_url</t>
        </is>
      </c>
      <c r="B12" s="2" t="inlineStr">
        <is>
          <t>Canonical source URL.</t>
        </is>
      </c>
    </row>
    <row r="13">
      <c r="A13" s="2" t="inlineStr">
        <is>
          <t>caveat</t>
        </is>
      </c>
      <c r="B13" s="2" t="inlineStr">
        <is>
          <t>Reason the stages should not be interpreted as a literal longitudinal experiment when they are not one.</t>
        </is>
      </c>
    </row>
  </sheetData>
  <autoFilter ref="A1:B1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2" customWidth="1" min="4" max="4"/>
    <col width="70" customWidth="1" min="5" max="5"/>
    <col width="18" customWidth="1" min="6" max="6"/>
    <col width="62" customWidth="1" min="7" max="7"/>
    <col width="40" customWidth="1" min="8" max="8"/>
    <col width="28" customWidth="1" min="9" max="9"/>
    <col width="48" customWidth="1" min="10" max="10"/>
    <col width="58" customWidth="1" min="11" max="11"/>
  </cols>
  <sheetData>
    <row r="1">
      <c r="A1" s="6" t="inlineStr">
        <is>
          <t>chain_id</t>
        </is>
      </c>
      <c r="B1" s="6" t="inlineStr">
        <is>
          <t>stage</t>
        </is>
      </c>
      <c r="C1" s="6" t="inlineStr">
        <is>
          <t>system_boundary</t>
        </is>
      </c>
      <c r="D1" s="6" t="inlineStr">
        <is>
          <t>direct_measure</t>
        </is>
      </c>
      <c r="E1" s="6" t="inlineStr">
        <is>
          <t>observed_result</t>
        </is>
      </c>
      <c r="F1" s="6" t="inlineStr">
        <is>
          <t>result_direction</t>
        </is>
      </c>
      <c r="G1" s="6" t="inlineStr">
        <is>
          <t>inference_change</t>
        </is>
      </c>
      <c r="H1" s="6" t="inlineStr">
        <is>
          <t>relational_variable</t>
        </is>
      </c>
      <c r="I1" s="6" t="inlineStr">
        <is>
          <t>security_link</t>
        </is>
      </c>
      <c r="J1" s="6" t="inlineStr">
        <is>
          <t>source_url</t>
        </is>
      </c>
      <c r="K1" s="6" t="inlineStr">
        <is>
          <t>caveat</t>
        </is>
      </c>
    </row>
    <row r="2">
      <c r="A2" s="2" t="inlineStr">
        <is>
          <t>MC1</t>
        </is>
      </c>
      <c r="B2" s="2" t="inlineStr">
        <is>
          <t>Benchmark/proxy</t>
        </is>
      </c>
      <c r="C2" s="2" t="inlineStr">
        <is>
          <t>Model answering practical biology questions</t>
        </is>
      </c>
      <c r="D2" s="2" t="inlineStr">
        <is>
          <t>Accuracy on 2,400+ practical biology QA tasks</t>
        </is>
      </c>
      <c r="E2" s="2" t="inlineStr">
        <is>
          <t>LAB-Bench measures practical-task knowledge and predicts usefulness as research assistance.</t>
        </is>
      </c>
      <c r="F2" s="2" t="inlineStr">
        <is>
          <t>baseline</t>
        </is>
      </c>
      <c r="G2" s="2" t="inlineStr">
        <is>
          <t>Establishes bounded practical biology performance, not workflow completion.</t>
        </is>
      </c>
      <c r="H2" s="2" t="inlineStr">
        <is>
          <t>Information/context available to model</t>
        </is>
      </c>
      <c r="I2" s="2" t="inlineStr">
        <is>
          <t>Indirect</t>
        </is>
      </c>
      <c r="J2" s="2" t="inlineStr">
        <is>
          <t>https://arxiv.org/abs/2407.10362</t>
        </is>
      </c>
      <c r="K2" s="2" t="inlineStr">
        <is>
          <t>Different tasks from later physical study; matched by capability family, not identical items.</t>
        </is>
      </c>
    </row>
    <row r="3">
      <c r="A3" s="2" t="inlineStr">
        <is>
          <t>MC1</t>
        </is>
      </c>
      <c r="B3" s="2" t="inlineStr">
        <is>
          <t>More realistic benchmark</t>
        </is>
      </c>
      <c r="C3" s="2" t="inlineStr">
        <is>
          <t>Model in richer scientific contexts</t>
        </is>
      </c>
      <c r="D3" s="2" t="inlineStr">
        <is>
          <t>~1,900 tasks in more realistic contexts</t>
        </is>
      </c>
      <c r="E3" s="2" t="inlineStr">
        <is>
          <t>LABBench2 is 26-46 percentage points harder across subtasks for evaluated models.</t>
        </is>
      </c>
      <c r="F3" s="2" t="inlineStr">
        <is>
          <t>attenuates</t>
        </is>
      </c>
      <c r="G3" s="2" t="inlineStr">
        <is>
          <t>Adding realistic context reduces apparent capability.</t>
        </is>
      </c>
      <c r="H3" s="2" t="inlineStr">
        <is>
          <t>Context richness; task realism</t>
        </is>
      </c>
      <c r="I3" s="2" t="inlineStr">
        <is>
          <t>Indirect</t>
        </is>
      </c>
      <c r="J3" s="2" t="inlineStr">
        <is>
          <t>https://arxiv.org/abs/2604.09554</t>
        </is>
      </c>
      <c r="K3" s="2" t="inlineStr">
        <is>
          <t>Not a physical workflow; measures a refined benchmark construct.</t>
        </is>
      </c>
    </row>
    <row r="4">
      <c r="A4" s="2" t="inlineStr">
        <is>
          <t>MC1</t>
        </is>
      </c>
      <c r="B4" s="2" t="inlineStr">
        <is>
          <t>Workflow</t>
        </is>
      </c>
      <c r="C4" s="2" t="inlineStr">
        <is>
          <t>Agent exploring biological datasets over long multi-step analyses</t>
        </is>
      </c>
      <c r="D4" s="2" t="inlineStr">
        <is>
          <t>Open-answer accuracy across real bioinformatics scenarios</t>
        </is>
      </c>
      <c r="E4" s="2" t="inlineStr">
        <is>
          <t>BixBench reports frontier agents at 17% open-answer accuracy and poor multiple-choice performance.</t>
        </is>
      </c>
      <c r="F4" s="2" t="inlineStr">
        <is>
          <t>attenuates</t>
        </is>
      </c>
      <c r="G4" s="2" t="inlineStr">
        <is>
          <t>Knowledge/reasoning does not automatically compose into long analytical trajectories.</t>
        </is>
      </c>
      <c r="H4" s="2" t="inlineStr">
        <is>
          <t>Tool use; multi-step state; interpretation</t>
        </is>
      </c>
      <c r="I4" s="2" t="inlineStr">
        <is>
          <t>Indirect-moderate</t>
        </is>
      </c>
      <c r="J4" s="2" t="inlineStr">
        <is>
          <t>https://arxiv.org/abs/2503.00096</t>
        </is>
      </c>
      <c r="K4" s="2" t="inlineStr">
        <is>
          <t>Computational rather than wet-lab workflow.</t>
        </is>
      </c>
    </row>
    <row r="5">
      <c r="A5" s="2" t="inlineStr">
        <is>
          <t>MC1</t>
        </is>
      </c>
      <c r="B5" s="2" t="inlineStr">
        <is>
          <t>Physical human+AI</t>
        </is>
      </c>
      <c r="C5" s="2" t="inlineStr">
        <is>
          <t>Novice + LLM + real laboratory workflow</t>
        </is>
      </c>
      <c r="D5" s="2" t="inlineStr">
        <is>
          <t>Pre-registered RCT, n=153; full reverse-genetics workflow completion</t>
        </is>
      </c>
      <c r="E5" s="2" t="inlineStr">
        <is>
          <t>No significant difference in primary full-workflow completion: 5.2% LLM vs 6.6% internet.</t>
        </is>
      </c>
      <c r="F5" s="2" t="inlineStr">
        <is>
          <t>attenuates</t>
        </is>
      </c>
      <c r="G5" s="2" t="inlineStr">
        <is>
          <t>Strong benchmark performance did not translate into substantial novice completion of complex lab procedures in this study.</t>
        </is>
      </c>
      <c r="H5" s="2" t="inlineStr">
        <is>
          <t>Tacit skill; physical execution; troubleshooting; human-AI interaction</t>
        </is>
      </c>
      <c r="I5" s="2" t="inlineStr">
        <is>
          <t>Moderate for uplift; indirect for security</t>
        </is>
      </c>
      <c r="J5" s="2" t="inlineStr">
        <is>
          <t>https://arxiv.org/abs/2602.16703</t>
        </is>
      </c>
      <c r="K5" s="2" t="inlineStr">
        <is>
          <t>Mid-2025 models; bounded reverse-genetics proxy workflow; modest effects on intermediate steps remain possible.</t>
        </is>
      </c>
    </row>
    <row r="6">
      <c r="A6" s="2" t="inlineStr">
        <is>
          <t>MC2</t>
        </is>
      </c>
      <c r="B6" s="2" t="inlineStr">
        <is>
          <t>In-silico workflow benchmark</t>
        </is>
      </c>
      <c r="C6" s="2" t="inlineStr">
        <is>
          <t>LLM agent + specialist protein design/evaluation tools</t>
        </is>
      </c>
      <c r="D6" s="2" t="inlineStr">
        <is>
          <t>76 expert-curated tasks plus tool-use traces</t>
        </is>
      </c>
      <c r="E6" s="2" t="inlineStr">
        <is>
          <t>BioDesignBench finds strongest agents beat deterministic pipelines but underperform experts; forced-depth evaluation improves performance.</t>
        </is>
      </c>
      <c r="F6" s="2" t="inlineStr">
        <is>
          <t>baseline</t>
        </is>
      </c>
      <c r="G6" s="2" t="inlineStr">
        <is>
          <t>Identifies evaluation depth as a behavioral bottleneck in agentic protein design.</t>
        </is>
      </c>
      <c r="H6" s="2" t="inlineStr">
        <is>
          <t>Agent-tool orchestration; evaluation depth</t>
        </is>
      </c>
      <c r="I6" s="2" t="inlineStr">
        <is>
          <t>Indirect</t>
        </is>
      </c>
      <c r="J6" s="2" t="inlineStr">
        <is>
          <t>https://pmc.ncbi.nlm.nih.gov/articles/PMC13174699/</t>
        </is>
      </c>
      <c r="K6" s="2" t="inlineStr">
        <is>
          <t>All evaluations are in silico.</t>
        </is>
      </c>
    </row>
    <row r="7">
      <c r="A7" s="2" t="inlineStr">
        <is>
          <t>MC2</t>
        </is>
      </c>
      <c r="B7" s="2" t="inlineStr">
        <is>
          <t>Physical validation</t>
        </is>
      </c>
      <c r="C7" s="2" t="inlineStr">
        <is>
          <t>Claude Science agent + open protein-design tools + automated wet lab</t>
        </is>
      </c>
      <c r="D7" s="2" t="inlineStr">
        <is>
          <t>1,320 designs across targets; expression and binding assays</t>
        </is>
      </c>
      <c r="E7" s="2" t="inlineStr">
        <is>
          <t>Adaptyv reports 354 binders from 1,320 designs (26.8% hit rate), with binding on 14/15 analyzable targets.</t>
        </is>
      </c>
      <c r="F7" s="2" t="inlineStr">
        <is>
          <t>strengthens</t>
        </is>
      </c>
      <c r="G7" s="2" t="inlineStr">
        <is>
          <t>Experimental success confirms that agentic orchestration can produce functional physical outputs in this bounded domain.</t>
        </is>
      </c>
      <c r="H7" s="2" t="inlineStr">
        <is>
          <t>Tool orchestration; automated lab; assay feedback</t>
        </is>
      </c>
      <c r="I7" s="2" t="inlineStr">
        <is>
          <t>Direct to capability; indirect to security</t>
        </is>
      </c>
      <c r="J7" s="2" t="inlineStr">
        <is>
          <t>https://www.adaptyvbio.com/blog/anthropic-1</t>
        </is>
      </c>
      <c r="K7" s="2" t="inlineStr">
        <is>
          <t>Company/partner case study; comparison to expert competitions is not a randomized head-to-head trial.</t>
        </is>
      </c>
    </row>
    <row r="8">
      <c r="A8" s="2" t="inlineStr">
        <is>
          <t>MC3</t>
        </is>
      </c>
      <c r="B8" s="2" t="inlineStr">
        <is>
          <t>In-silico threat claim</t>
        </is>
      </c>
      <c r="C8" s="2" t="inlineStr">
        <is>
          <t>Generative protein redesign + screening software</t>
        </is>
      </c>
      <c r="D8" s="2" t="inlineStr">
        <is>
          <t>Predicted structure/function proxies plus screening evasion</t>
        </is>
      </c>
      <c r="E8" s="2" t="inlineStr">
        <is>
          <t>Earlier work suggested synthetic homologs might evade sequence-based screening.</t>
        </is>
      </c>
      <c r="F8" s="2" t="inlineStr">
        <is>
          <t>baseline</t>
        </is>
      </c>
      <c r="G8" s="2" t="inlineStr">
        <is>
          <t>Creates a plausible security concern from computational outputs.</t>
        </is>
      </c>
      <c r="H8" s="2" t="inlineStr">
        <is>
          <t>Design model -&gt; screening interface</t>
        </is>
      </c>
      <c r="I8" s="2" t="inlineStr">
        <is>
          <t>Moderate-inferred</t>
        </is>
      </c>
      <c r="J8" s="2" t="inlineStr">
        <is>
          <t>https://www.nist.gov/publications/experimental-evaluation-ai-driven-protein-design-risks-using-safe-biological-proxies</t>
        </is>
      </c>
      <c r="K8" s="2" t="inlineStr">
        <is>
          <t>The matched stage is reconstructed from the NIST paper description of prior in-silico work.</t>
        </is>
      </c>
    </row>
    <row r="9">
      <c r="A9" s="2" t="inlineStr">
        <is>
          <t>MC3</t>
        </is>
      </c>
      <c r="B9" s="2" t="inlineStr">
        <is>
          <t>Physical validation</t>
        </is>
      </c>
      <c r="C9" s="2" t="inlineStr">
        <is>
          <t>AI-designed safe proxy proteins synthesized and experimentally assayed</t>
        </is>
      </c>
      <c r="D9" s="2" t="inlineStr">
        <is>
          <t>Expression/activity plus screening-evasion behavior</t>
        </is>
      </c>
      <c r="E9" s="2" t="inlineStr">
        <is>
          <t>NIST found structural similarity did not necessarily preserve activity and concluded tested systems could not reliably maintain activity while evading screening.</t>
        </is>
      </c>
      <c r="F9" s="2" t="inlineStr">
        <is>
          <t>attenuates</t>
        </is>
      </c>
      <c r="G9" s="2" t="inlineStr">
        <is>
          <t>The feared digital capability did not reliably survive physical biological constraints.</t>
        </is>
      </c>
      <c r="H9" s="2" t="inlineStr">
        <is>
          <t>Digital-to-physical function; assay reality; synthesis screening</t>
        </is>
      </c>
      <c r="I9" s="2" t="inlineStr">
        <is>
          <t>Direct to tested proxy capability</t>
        </is>
      </c>
      <c r="J9" s="2" t="inlineStr">
        <is>
          <t>https://www.nist.gov/publications/experimental-evaluation-ai-driven-protein-design-risks-using-safe-biological-proxies</t>
        </is>
      </c>
      <c r="K9" s="2" t="inlineStr">
        <is>
          <t>Safe proxy proteins; models reflected systems available when study began; does not eliminate future risk.</t>
        </is>
      </c>
    </row>
    <row r="10">
      <c r="A10" s="2" t="inlineStr">
        <is>
          <t>MC4</t>
        </is>
      </c>
      <c r="B10" s="2" t="inlineStr">
        <is>
          <t>Agent+tool / bounded physical validation</t>
        </is>
      </c>
      <c r="C10" s="2" t="inlineStr">
        <is>
          <t>Agent produces executable laboratory control code</t>
        </is>
      </c>
      <c r="D10" s="2" t="inlineStr">
        <is>
          <t>Task success and OpenTrons wet-lab execution</t>
        </is>
      </c>
      <c r="E10" s="2" t="inlineStr">
        <is>
          <t>ABC-Bench reports selected agent-generated scripts executed on OpenTrons and assembled expected DNA.</t>
        </is>
      </c>
      <c r="F10" s="2" t="inlineStr">
        <is>
          <t>strengthens</t>
        </is>
      </c>
      <c r="G10" s="2" t="inlineStr">
        <is>
          <t>Executable tool access converts reasoning into bounded physical workflow capability.</t>
        </is>
      </c>
      <c r="H10" s="2" t="inlineStr">
        <is>
          <t>Agent -&gt; tool semantics; permissions; robot execution</t>
        </is>
      </c>
      <c r="I10" s="2" t="inlineStr">
        <is>
          <t>Direct to bounded capability</t>
        </is>
      </c>
      <c r="J10" s="2" t="inlineStr">
        <is>
          <t>https://arxiv.org/abs/2606.11150</t>
        </is>
      </c>
      <c r="K10" s="2" t="inlineStr">
        <is>
          <t>Benign bounded tasks; broader autonomous biology not established.</t>
        </is>
      </c>
    </row>
    <row r="11">
      <c r="A11" s="2" t="inlineStr">
        <is>
          <t>MC4</t>
        </is>
      </c>
      <c r="B11" s="2" t="inlineStr">
        <is>
          <t>Human+AI physical workflow</t>
        </is>
      </c>
      <c r="C11" s="2" t="inlineStr">
        <is>
          <t>CRISPR-GPT + junior researchers + laboratory execution</t>
        </is>
      </c>
      <c r="D11" s="2" t="inlineStr">
        <is>
          <t>Successful knockout and activation experiments</t>
        </is>
      </c>
      <c r="E11" s="2" t="inlineStr">
        <is>
          <t>CRISPR-GPT guided experimental design/analysis and was demonstrated in successful gene-editing experiments across modalities.</t>
        </is>
      </c>
      <c r="F11" s="2" t="inlineStr">
        <is>
          <t>strengthens</t>
        </is>
      </c>
      <c r="G11" s="2" t="inlineStr">
        <is>
          <t>Human-AI composition can bridge planning into physical biological execution.</t>
        </is>
      </c>
      <c r="H11" s="2" t="inlineStr">
        <is>
          <t>Human expertise; retrieval; tools; protocol handoff</t>
        </is>
      </c>
      <c r="I11" s="2" t="inlineStr">
        <is>
          <t>Direct to tested workflow capability</t>
        </is>
      </c>
      <c r="J11" s="2" t="inlineStr">
        <is>
          <t>https://www.nature.com/articles/s41551-025-01463-z</t>
        </is>
      </c>
      <c r="K11" s="2" t="inlineStr">
        <is>
          <t>Human execution and supervision remain material components.</t>
        </is>
      </c>
    </row>
    <row r="12">
      <c r="A12" s="2" t="inlineStr">
        <is>
          <t>MC4</t>
        </is>
      </c>
      <c r="B12" s="2" t="inlineStr">
        <is>
          <t>Closed-loop physical optimization</t>
        </is>
      </c>
      <c r="C12" s="2" t="inlineStr">
        <is>
          <t>GPT-5 + human experimenters/robot + repeated wet-lab feedback</t>
        </is>
      </c>
      <c r="D12" s="2" t="inlineStr">
        <is>
          <t>Cloning efficiency across iterative experimental rounds</t>
        </is>
      </c>
      <c r="E12" s="2" t="inlineStr">
        <is>
          <t>OpenAI/Red Queen report a 79-fold end-to-end cloning-efficiency improvement with repeated experimental feedback; robot reproduced protocol ordering.</t>
        </is>
      </c>
      <c r="F12" s="2" t="inlineStr">
        <is>
          <t>strengthens</t>
        </is>
      </c>
      <c r="G12" s="2" t="inlineStr">
        <is>
          <t>Interpretable physical feedback plus repeated updating enables capability not visible in one-shot evaluation.</t>
        </is>
      </c>
      <c r="H12" s="2" t="inlineStr">
        <is>
          <t>Feedback interpretability; update capacity; execution authority</t>
        </is>
      </c>
      <c r="I12" s="2" t="inlineStr">
        <is>
          <t>Direct to bounded capability</t>
        </is>
      </c>
      <c r="J12" s="2" t="inlineStr">
        <is>
          <t>https://openai.com/index/accelerating-biological-research-in-the-wet-lab/</t>
        </is>
      </c>
      <c r="K12" s="2" t="inlineStr">
        <is>
          <t>Organization-produced study; benign system; humans still ran experiments in main loop.</t>
        </is>
      </c>
    </row>
    <row r="13">
      <c r="A13" s="2" t="inlineStr">
        <is>
          <t>MC5</t>
        </is>
      </c>
      <c r="B13" s="2" t="inlineStr">
        <is>
          <t>Research benchmark</t>
        </is>
      </c>
      <c r="C13" s="2" t="inlineStr">
        <is>
          <t>Agent + papers/code/compute</t>
        </is>
      </c>
      <c r="D13" s="2" t="inlineStr">
        <is>
          <t>Paper replication score over 20 ICML papers</t>
        </is>
      </c>
      <c r="E13" s="2" t="inlineStr">
        <is>
          <t>PaperBench best tested agent scored about 21% and remained below human baseline.</t>
        </is>
      </c>
      <c r="F13" s="2" t="inlineStr">
        <is>
          <t>attenuates</t>
        </is>
      </c>
      <c r="G13" s="2" t="inlineStr">
        <is>
          <t>Plausible planning/code generation does not equal end-to-end research replication.</t>
        </is>
      </c>
      <c r="H13" s="2" t="inlineStr">
        <is>
          <t>Long-horizon state; execution; debugging; verification</t>
        </is>
      </c>
      <c r="I13" s="2" t="inlineStr">
        <is>
          <t>Indirect comparator</t>
        </is>
      </c>
      <c r="J13" s="2" t="inlineStr">
        <is>
          <t>https://openai.com/index/paperbench/</t>
        </is>
      </c>
      <c r="K13" s="2" t="inlineStr">
        <is>
          <t>Machine-learning rather than biology research.</t>
        </is>
      </c>
    </row>
    <row r="14">
      <c r="A14" s="2" t="inlineStr">
        <is>
          <t>MC5</t>
        </is>
      </c>
      <c r="B14" s="2" t="inlineStr">
        <is>
          <t>Bioinformatics workflow</t>
        </is>
      </c>
      <c r="C14" s="2" t="inlineStr">
        <is>
          <t>Agent + biological datasets + analysis tools</t>
        </is>
      </c>
      <c r="D14" s="2" t="inlineStr">
        <is>
          <t>Long multi-step bioinformatics task accuracy</t>
        </is>
      </c>
      <c r="E14" s="2" t="inlineStr">
        <is>
          <t>BixBench shows large end-to-end gaps despite frontier-model knowledge.</t>
        </is>
      </c>
      <c r="F14" s="2" t="inlineStr">
        <is>
          <t>attenuates</t>
        </is>
      </c>
      <c r="G14" s="2" t="inlineStr">
        <is>
          <t>Domain knowledge does not automatically compose through long workflow trajectories.</t>
        </is>
      </c>
      <c r="H14" s="2" t="inlineStr">
        <is>
          <t>Tool choice; state tracking; interpretation</t>
        </is>
      </c>
      <c r="I14" s="2" t="inlineStr">
        <is>
          <t>Indirect-moderate</t>
        </is>
      </c>
      <c r="J14" s="2" t="inlineStr">
        <is>
          <t>https://arxiv.org/abs/2503.00096</t>
        </is>
      </c>
      <c r="K14" s="2" t="inlineStr">
        <is>
          <t>In silico.</t>
        </is>
      </c>
    </row>
    <row r="15">
      <c r="A15" s="2" t="inlineStr">
        <is>
          <t>MC5</t>
        </is>
      </c>
      <c r="B15" s="2" t="inlineStr">
        <is>
          <t>Wet-lab hypothesis validation</t>
        </is>
      </c>
      <c r="C15" s="2" t="inlineStr">
        <is>
          <t>Multi-agent Co-Scientist + expert review + biological experiments</t>
        </is>
      </c>
      <c r="D15" s="2" t="inlineStr">
        <is>
          <t>Expert review plus in-vitro validation in several biomedical applications</t>
        </is>
      </c>
      <c r="E15" s="2" t="inlineStr">
        <is>
          <t>Co-Scientist generated hypotheses that were taken through expert selection and wet-lab validation.</t>
        </is>
      </c>
      <c r="F15" s="2" t="inlineStr">
        <is>
          <t>strengthens/mixed</t>
        </is>
      </c>
      <c r="G15" s="2" t="inlineStr">
        <is>
          <t>Scientific capability emerges in a composed system with expert oversight and physical validation; not autonomous end-to-end science.</t>
        </is>
      </c>
      <c r="H15" s="2" t="inlineStr">
        <is>
          <t>Expert supervision; task decomposition; validation gate</t>
        </is>
      </c>
      <c r="I15" s="2" t="inlineStr">
        <is>
          <t>Direct to tested discovery steps</t>
        </is>
      </c>
      <c r="J15" s="2" t="inlineStr">
        <is>
          <t>https://www.nature.com/articles/s41586-026-10644-y</t>
        </is>
      </c>
      <c r="K15" s="2" t="inlineStr">
        <is>
          <t>Experts selected candidates and wet-lab work was a validation step, not full autonomous research.</t>
        </is>
      </c>
    </row>
    <row r="16">
      <c r="A16" s="2" t="inlineStr">
        <is>
          <t>MC5</t>
        </is>
      </c>
      <c r="B16" s="2" t="inlineStr">
        <is>
          <t>Physical closed-loop instrument control</t>
        </is>
      </c>
      <c r="C16" s="2" t="inlineStr">
        <is>
          <t>Agent + scientific instrument + sensor feedback</t>
        </is>
      </c>
      <c r="D16" s="2" t="inlineStr">
        <is>
          <t>Autonomous synchrotron sample alignment</t>
        </is>
      </c>
      <c r="E16" s="2" t="inlineStr">
        <is>
          <t>X-ray scientist demonstrates a real physical sense-plan-act-observe loop.</t>
        </is>
      </c>
      <c r="F16" s="2" t="inlineStr">
        <is>
          <t>strengthens</t>
        </is>
      </c>
      <c r="G16" s="2" t="inlineStr">
        <is>
          <t>A structured environment with direct instrument actions and feedback can support bounded autonomy.</t>
        </is>
      </c>
      <c r="H16" s="2" t="inlineStr">
        <is>
          <t>Instrument API; sensor feedback; closed-loop control</t>
        </is>
      </c>
      <c r="I16" s="2" t="inlineStr">
        <is>
          <t>Adjacent comparator</t>
        </is>
      </c>
      <c r="J16" s="2" t="inlineStr">
        <is>
          <t>https://www.nature.com/articles/s42256-026-01261-5</t>
        </is>
      </c>
      <c r="K16" s="2" t="inlineStr">
        <is>
          <t>Not biology/biosecurity and task is tightly structured.</t>
        </is>
      </c>
    </row>
    <row r="17">
      <c r="A17" s="2" t="inlineStr">
        <is>
          <t>MC6</t>
        </is>
      </c>
      <c r="B17" s="2" t="inlineStr">
        <is>
          <t>Model-only safeguard metric</t>
        </is>
      </c>
      <c r="C17" s="2" t="inlineStr">
        <is>
          <t>Model response to tiered biology prompts</t>
        </is>
      </c>
      <c r="D17" s="2" t="inlineStr">
        <is>
          <t>Overall refusal vs tier discrimination / Youden J</t>
        </is>
      </c>
      <c r="E17" s="2" t="inlineStr">
        <is>
          <t>RefusalBench shows overall refusal can misrank models relative to tier discrimination; partial compliance complicates binary metrics.</t>
        </is>
      </c>
      <c r="F17" s="2" t="inlineStr">
        <is>
          <t>reframes</t>
        </is>
      </c>
      <c r="G17" s="2" t="inlineStr">
        <is>
          <t>Visible refusal is a proxy for a narrower construct than calibrated risk discrimination.</t>
        </is>
      </c>
      <c r="H17" s="2" t="inlineStr">
        <is>
          <t>Model-policy interface; scoring rule</t>
        </is>
      </c>
      <c r="I17" s="2" t="inlineStr">
        <is>
          <t>Indirect</t>
        </is>
      </c>
      <c r="J17" s="2" t="inlineStr">
        <is>
          <t>https://arxiv.org/abs/2605.21545</t>
        </is>
      </c>
      <c r="K17" s="2" t="inlineStr">
        <is>
          <t>Prompt-based setting; no physical misuse outcome.</t>
        </is>
      </c>
    </row>
    <row r="18">
      <c r="A18" s="2" t="inlineStr">
        <is>
          <t>MC6</t>
        </is>
      </c>
      <c r="B18" s="2" t="inlineStr">
        <is>
          <t>Agent/harness safeguard</t>
        </is>
      </c>
      <c r="C18" s="2" t="inlineStr">
        <is>
          <t>Model + agent harness + provider filters</t>
        </is>
      </c>
      <c r="D18" s="2" t="inlineStr">
        <is>
          <t>Routine vs concealed-hazard task refusal across configurations</t>
        </is>
      </c>
      <c r="E18" s="2" t="inlineStr">
        <is>
          <t>BioSecBench-Refusal finds many configurations refuse routine tasks as often or more often than hazards, and provider filters can dominate behavior.</t>
        </is>
      </c>
      <c r="F18" s="2" t="inlineStr">
        <is>
          <t>reframes</t>
        </is>
      </c>
      <c r="G18" s="2" t="inlineStr">
        <is>
          <t>Observed safeguard behavior is configuration-dependent and may arise upstream of model reasoning.</t>
        </is>
      </c>
      <c r="H18" s="2" t="inlineStr">
        <is>
          <t>Provider filter; harness; model policy; task framing</t>
        </is>
      </c>
      <c r="I18" s="2" t="inlineStr">
        <is>
          <t>Direct to safeguard behavior, indirect to harm</t>
        </is>
      </c>
      <c r="J18" s="2" t="inlineStr">
        <is>
          <t>https://arxiv.org/abs/2607.05462</t>
        </is>
      </c>
      <c r="K18" s="2" t="inlineStr">
        <is>
          <t>In silico; no demonstrated downstream harm reduction.</t>
        </is>
      </c>
    </row>
  </sheetData>
  <autoFilter ref="A1:K18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55" customWidth="1" min="4" max="4"/>
    <col width="12" customWidth="1" min="5" max="5"/>
    <col width="40" customWidth="1" min="6" max="6"/>
    <col width="72" customWidth="1" min="7" max="7"/>
    <col width="72" customWidth="1" min="8" max="8"/>
    <col width="62" customWidth="1" min="9" max="9"/>
  </cols>
  <sheetData>
    <row r="1">
      <c r="A1" s="6" t="inlineStr">
        <is>
          <t>chain_id</t>
        </is>
      </c>
      <c r="B1" s="6" t="inlineStr">
        <is>
          <t>capability_family</t>
        </is>
      </c>
      <c r="C1" s="6" t="inlineStr">
        <is>
          <t>match_strength</t>
        </is>
      </c>
      <c r="D1" s="6" t="inlineStr">
        <is>
          <t>core_question</t>
        </is>
      </c>
      <c r="E1" s="6" t="inlineStr">
        <is>
          <t>stage_count</t>
        </is>
      </c>
      <c r="F1" s="6" t="inlineStr">
        <is>
          <t>net_pattern</t>
        </is>
      </c>
      <c r="G1" s="6" t="inlineStr">
        <is>
          <t>synthesis</t>
        </is>
      </c>
      <c r="H1" s="6" t="inlineStr">
        <is>
          <t>relational_interpretation</t>
        </is>
      </c>
      <c r="I1" s="6" t="inlineStr">
        <is>
          <t>defensible_claim</t>
        </is>
      </c>
    </row>
    <row r="2">
      <c r="A2" s="2" t="inlineStr">
        <is>
          <t>MC1</t>
        </is>
      </c>
      <c r="B2" s="2" t="inlineStr">
        <is>
          <t>Practical biology assistance / novice uplift</t>
        </is>
      </c>
      <c r="C2" s="2" t="inlineStr">
        <is>
          <t>Moderate</t>
        </is>
      </c>
      <c r="D2" s="2" t="inlineStr">
        <is>
          <t>Do strong model-level biology scores translate into useful end-to-end biological work and physical novice uplift?</t>
        </is>
      </c>
      <c r="E2" s="2" t="n">
        <v>4</v>
      </c>
      <c r="F2" s="2" t="inlineStr">
        <is>
          <t>attenuation with boundary expansion</t>
        </is>
      </c>
      <c r="G2" s="2" t="inlineStr">
        <is>
          <t>Capability estimates attenuate as the boundary expands. More realistic tasks are harder, long multi-step bioinformatics remains difficult, and a large physical RCT did not find significant improvement in full workflow completion.</t>
        </is>
      </c>
      <c r="H2" s="2" t="inlineStr">
        <is>
          <t>Static or bounded benchmark performance does not by itself establish physical novice uplift. Human skill, tacit execution, error recovery, and physical constraints mediate the translation.</t>
        </is>
      </c>
      <c r="I2" s="2" t="inlineStr">
        <is>
          <t>Benchmark-to-physical translation is an empirical relationship, not a safe assumption.</t>
        </is>
      </c>
    </row>
    <row r="3">
      <c r="A3" s="2" t="inlineStr">
        <is>
          <t>MC2</t>
        </is>
      </c>
      <c r="B3" s="2" t="inlineStr">
        <is>
          <t>Protein-design orchestration -&gt; experimentally functional binders</t>
        </is>
      </c>
      <c r="C3" s="2" t="inlineStr">
        <is>
          <t>Moderate-Strong</t>
        </is>
      </c>
      <c r="D3" s="2" t="inlineStr">
        <is>
          <t>Can agentic orchestration of protein-design tools produce experimentally functional proteins?</t>
        </is>
      </c>
      <c r="E3" s="2" t="n">
        <v>2</v>
      </c>
      <c r="F3" s="2" t="inlineStr">
        <is>
          <t>physical validation strengthens bounded capability</t>
        </is>
      </c>
      <c r="G3" s="2" t="inlineStr">
        <is>
          <t>The boundary expansion strengthens the capability claim. In-silico work identifies behavioral bottlenecks; subsequent wet-lab campaigns show that generalist agents orchestrating specialist tools can generate binders with substantial experimental hit rates.</t>
        </is>
      </c>
      <c r="H3" s="2" t="inlineStr">
        <is>
          <t>Tool orchestration, evaluation depth, and access to automated wet-lab validation are capability-forming relationships. Here, physical validation confirms that at least some computational capability survives the boundary.</t>
        </is>
      </c>
      <c r="I3" s="2" t="inlineStr">
        <is>
          <t>Composition can create real physical capability rather than merely inflate benchmark scores.</t>
        </is>
      </c>
    </row>
    <row r="4">
      <c r="A4" s="2" t="inlineStr">
        <is>
          <t>MC3</t>
        </is>
      </c>
      <c r="B4" s="2" t="inlineStr">
        <is>
          <t>AI protein redesign for screening evasion / retained biological function</t>
        </is>
      </c>
      <c r="C4" s="2" t="inlineStr">
        <is>
          <t>Strong conceptual threat-chain match</t>
        </is>
      </c>
      <c r="D4" s="2" t="inlineStr">
        <is>
          <t>Do in-silico designs predicted to evade screening retain the physical biological function needed for the feared capability?</t>
        </is>
      </c>
      <c r="E4" s="2" t="n">
        <v>2</v>
      </c>
      <c r="F4" s="2" t="inlineStr">
        <is>
          <t>physical validation attenuates risk inference</t>
        </is>
      </c>
      <c r="G4" s="2" t="inlineStr">
        <is>
          <t>Physical testing attenuates the security inference. NIST found that AI-generated homologs could preserve predicted structural similarity without reliably preserving activity while evading screening.</t>
        </is>
      </c>
      <c r="H4" s="2" t="inlineStr">
        <is>
          <t>The digital-to-physical interface is not a transparent handoff. Biological function is an independent constraint that computational proxies can miss.</t>
        </is>
      </c>
      <c r="I4" s="2" t="inlineStr">
        <is>
          <t>Physical validation can materially reduce an in-silico risk estimate.</t>
        </is>
      </c>
    </row>
    <row r="5">
      <c r="A5" s="2" t="inlineStr">
        <is>
          <t>MC4</t>
        </is>
      </c>
      <c r="B5" s="2" t="inlineStr">
        <is>
          <t>AI-guided experimental execution and closed-loop optimization</t>
        </is>
      </c>
      <c r="C5" s="2" t="inlineStr">
        <is>
          <t>Moderate</t>
        </is>
      </c>
      <c r="D5" s="2" t="inlineStr">
        <is>
          <t>When AI moves from protocol/design assistance into tool use, physical execution, and iterative feedback, does new capability emerge?</t>
        </is>
      </c>
      <c r="E5" s="2" t="n">
        <v>3</v>
      </c>
      <c r="F5" s="2" t="inlineStr">
        <is>
          <t>capability strengthens as action+feedback loop closes</t>
        </is>
      </c>
      <c r="G5" s="2" t="inlineStr">
        <is>
          <t>Boundary expansion strengthens the capability claim in bounded workflows. ABC-Bench physically validated robot-generated execution; CRISPR-GPT supported successful gene-editing experiments; OpenAI/Red Queen demonstrated iterative wet-lab optimization with experimental feedback.</t>
        </is>
      </c>
      <c r="H5" s="2" t="inlineStr">
        <is>
          <t>Authority to act, executable tools, physical interfaces, and interpretable feedback close the loop between reasoning and biological action.</t>
        </is>
      </c>
      <c r="I5" s="2" t="inlineStr">
        <is>
          <t>Capability can emerge from relationships among model, tools, humans/robots, and feedback.</t>
        </is>
      </c>
    </row>
    <row r="6">
      <c r="A6" s="2" t="inlineStr">
        <is>
          <t>MC5</t>
        </is>
      </c>
      <c r="B6" s="2" t="inlineStr">
        <is>
          <t>Autonomous scientific research / end-to-end discovery</t>
        </is>
      </c>
      <c r="C6" s="2" t="inlineStr">
        <is>
          <t>Exploratory-Moderate</t>
        </is>
      </c>
      <c r="D6" s="2" t="inlineStr">
        <is>
          <t>Do strong planning and research-assistance capabilities compose into autonomous scientific discovery?</t>
        </is>
      </c>
      <c r="E6" s="2" t="n">
        <v>4</v>
      </c>
      <c r="F6" s="2" t="inlineStr">
        <is>
          <t>mixed; composition can block or enable</t>
        </is>
      </c>
      <c r="G6" s="2" t="inlineStr">
        <is>
          <t>The answer is mixed and task-dependent. PaperBench and BixBench expose large end-to-end gaps, while Co-Scientist and the X-ray scientist show successful bounded scientific loops when domain structure, tools, expert supervision, or instrument feedback are strong.</t>
        </is>
      </c>
      <c r="H6" s="2" t="inlineStr">
        <is>
          <t>Autonomy is not a scalar model property. It depends on task structure, external tools, verification, feedback quality, and where human expertise remains in the loop.</t>
        </is>
      </c>
      <c r="I6" s="2" t="inlineStr">
        <is>
          <t>Composition can amplify or block capability; the direction cannot be inferred from component scores alone.</t>
        </is>
      </c>
    </row>
    <row r="7">
      <c r="A7" s="2" t="inlineStr">
        <is>
          <t>MC6</t>
        </is>
      </c>
      <c r="B7" s="2" t="inlineStr">
        <is>
          <t>Safety control quality: refusal / filtering / discrimination</t>
        </is>
      </c>
      <c r="C7" s="2" t="inlineStr">
        <is>
          <t>Moderate</t>
        </is>
      </c>
      <c r="D7" s="2" t="inlineStr">
        <is>
          <t>Does a visible safety signal such as refusal reliably indicate calibrated biological risk control?</t>
        </is>
      </c>
      <c r="E7" s="2" t="n">
        <v>2</v>
      </c>
      <c r="F7" s="2" t="inlineStr">
        <is>
          <t>metric is reframed by configuration</t>
        </is>
      </c>
      <c r="G7" s="2" t="inlineStr">
        <is>
          <t>The proxy is unstable across configurations. RefusalBench and BioSecBench-Refusal show that overall refusal can diverge from hazard discrimination and that provider filters or harness choices can dominate observed behavior.</t>
        </is>
      </c>
      <c r="H7" s="2" t="inlineStr">
        <is>
          <t>Safeguard behavior is produced across model-policy-harness-provider interfaces. A single output metric can measure the wrong layer of the control system.</t>
        </is>
      </c>
      <c r="I7" s="2" t="inlineStr">
        <is>
          <t>Observed refusal is not equivalent to effective hazard discrimination or downstream risk reduction.</t>
        </is>
      </c>
    </row>
  </sheetData>
  <autoFilter ref="A1:I7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75" customWidth="1" min="3" max="3"/>
    <col width="65" customWidth="1" min="4" max="4"/>
  </cols>
  <sheetData>
    <row r="1">
      <c r="A1" s="18" t="inlineStr">
        <is>
          <t>Matched-chain analysis — v1.7</t>
        </is>
      </c>
    </row>
    <row r="2">
      <c r="A2" s="12" t="inlineStr">
        <is>
          <t>Metric</t>
        </is>
      </c>
      <c r="B2" s="12" t="inlineStr">
        <is>
          <t>Value</t>
        </is>
      </c>
      <c r="C2" s="12" t="inlineStr">
        <is>
          <t>Interpretation</t>
        </is>
      </c>
      <c r="D2" s="12" t="inlineStr">
        <is>
          <t>Caveat</t>
        </is>
      </c>
    </row>
    <row r="3">
      <c r="A3" s="2" t="inlineStr">
        <is>
          <t>Capability families</t>
        </is>
      </c>
      <c r="B3" s="2" t="n">
        <v>6</v>
      </c>
      <c r="C3" s="2" t="inlineStr">
        <is>
          <t>Six deliberately selected families that permit multi-boundary comparison.</t>
        </is>
      </c>
      <c r="D3" s="2" t="inlineStr">
        <is>
          <t>Not a representative sample of all AI-bio research.</t>
        </is>
      </c>
    </row>
    <row r="4">
      <c r="A4" s="2" t="inlineStr">
        <is>
          <t>Families with physical/deployed stage</t>
        </is>
      </c>
      <c r="B4" s="2" t="n">
        <v>4</v>
      </c>
      <c r="C4" s="2" t="inlineStr">
        <is>
          <t>MC1-MC4 reach a physical biological or laboratory execution stage.</t>
        </is>
      </c>
      <c r="D4" s="2" t="inlineStr">
        <is>
          <t>MC5 includes physical comparators; MC6 remains safeguard-behavior evidence.</t>
        </is>
      </c>
    </row>
    <row r="5">
      <c r="A5" s="2" t="inlineStr">
        <is>
          <t>Families where expanding boundary attenuates earlier inference</t>
        </is>
      </c>
      <c r="B5" s="2" t="n">
        <v>2</v>
      </c>
      <c r="C5" s="2" t="inlineStr">
        <is>
          <t>MC1 and MC3 show clear attenuation.</t>
        </is>
      </c>
      <c r="D5" s="2" t="inlineStr">
        <is>
          <t>Direction is construct- and task-specific.</t>
        </is>
      </c>
    </row>
    <row r="6">
      <c r="A6" s="2" t="inlineStr">
        <is>
          <t>Families where expanding boundary strengthens capability claim</t>
        </is>
      </c>
      <c r="B6" s="2" t="n">
        <v>2</v>
      </c>
      <c r="C6" s="2" t="inlineStr">
        <is>
          <t>MC2 and MC4 show direct physical capability emerging/confirming.</t>
        </is>
      </c>
      <c r="D6" s="2" t="inlineStr">
        <is>
          <t>Bounded benign capability does not equal security harm.</t>
        </is>
      </c>
    </row>
    <row r="7">
      <c r="A7" s="2" t="inlineStr">
        <is>
          <t>Families with mixed/reframed outcome</t>
        </is>
      </c>
      <c r="B7" s="2" t="n">
        <v>2</v>
      </c>
      <c r="C7" s="2" t="inlineStr">
        <is>
          <t>MC5 and MC6 show that composition/configuration changes the interpretation rather than simply increasing or decreasing capability.</t>
        </is>
      </c>
      <c r="D7" s="2" t="inlineStr">
        <is>
          <t>These families are less tightly matched.</t>
        </is>
      </c>
    </row>
    <row r="8">
      <c r="A8" s="2" t="inlineStr">
        <is>
          <t>Monotonic direction across families</t>
        </is>
      </c>
      <c r="B8" s="2" t="inlineStr">
        <is>
          <t>No</t>
        </is>
      </c>
      <c r="C8" s="2" t="inlineStr">
        <is>
          <t>Boundary expansion is not systematically risk-increasing or risk-decreasing.</t>
        </is>
      </c>
      <c r="D8" s="2" t="inlineStr">
        <is>
          <t>This is the strongest qualitative result, not a statistical population estimate.</t>
        </is>
      </c>
    </row>
    <row r="9">
      <c r="A9" s="2" t="inlineStr">
        <is>
          <t>Primary cross-chain mediator</t>
        </is>
      </c>
      <c r="B9" s="2" t="inlineStr">
        <is>
          <t>Relationships/interfaces</t>
        </is>
      </c>
      <c r="C9" s="2" t="inlineStr">
        <is>
          <t>Human skill, tool access, context, execution semantics, physical constraints, feedback and authority repeatedly determine whether capability survives or changes.</t>
        </is>
      </c>
      <c r="D9" s="2" t="inlineStr">
        <is>
          <t>Mechanistic attribution remains provisional unless directly perturbed.</t>
        </is>
      </c>
    </row>
    <row r="10">
      <c r="A10" s="2" t="inlineStr">
        <is>
          <t>Core inference</t>
        </is>
      </c>
      <c r="B10" s="2" t="inlineStr">
        <is>
          <t>System boundary is an empirical variable</t>
        </is>
      </c>
      <c r="C10" s="2" t="inlineStr">
        <is>
          <t>The same broad capability can look materially different when measured as model knowledge, workflow performance, human uplift, or physical execution.</t>
        </is>
      </c>
      <c r="D10" s="2" t="inlineStr">
        <is>
          <t>Matched families are not literal longitudinal studies.</t>
        </is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  <col width="72" customWidth="1" min="3" max="3"/>
    <col width="65" customWidth="1" min="4" max="4"/>
  </cols>
  <sheetData>
    <row r="1">
      <c r="A1" s="6" t="inlineStr">
        <is>
          <t>Finding / hypothesis</t>
        </is>
      </c>
      <c r="B1" s="6" t="inlineStr">
        <is>
          <t>Matched-chain evidence</t>
        </is>
      </c>
      <c r="C1" s="6" t="inlineStr">
        <is>
          <t>What it means</t>
        </is>
      </c>
      <c r="D1" s="6" t="inlineStr">
        <is>
          <t>What would weaken it</t>
        </is>
      </c>
    </row>
    <row r="2">
      <c r="A2" s="2" t="inlineStr">
        <is>
          <t>Boundary expansion has no single direction</t>
        </is>
      </c>
      <c r="B2" s="2" t="inlineStr">
        <is>
          <t>MC1/MC3 attenuate; MC2/MC4 strengthen; MC5/MC6 are mixed or reframed.</t>
        </is>
      </c>
      <c r="C2" s="2" t="inlineStr">
        <is>
          <t>Moving toward a larger or more realistic system boundary can reveal missing constraints or create new capabilities. Treat system boundary as part of the causal model, not just an evaluation detail.</t>
        </is>
      </c>
      <c r="D2" s="2" t="inlineStr">
        <is>
          <t>A larger systematic sample showing that direction is mostly monotonic once tasks are tightly matched.</t>
        </is>
      </c>
    </row>
    <row r="3">
      <c r="A3" s="2" t="inlineStr">
        <is>
          <t>Digital capability does not guarantee physical capability</t>
        </is>
      </c>
      <c r="B3" s="2" t="inlineStr">
        <is>
          <t>MC1 physical novice RCT and MC3 NIST TEVV both weaken stronger in-silico expectations.</t>
        </is>
      </c>
      <c r="C3" s="2" t="inlineStr">
        <is>
          <t>Physical biology introduces tacit skill, biological function, execution error and resource constraints that proxy measures can miss.</t>
        </is>
      </c>
      <c r="D3" s="2" t="inlineStr">
        <is>
          <t>Repeated prospective studies where digital scores strongly and consistently predict physical performance.</t>
        </is>
      </c>
    </row>
    <row r="4">
      <c r="A4" s="2" t="inlineStr">
        <is>
          <t>Physical validation can also reveal underestimated capability</t>
        </is>
      </c>
      <c r="B4" s="2" t="inlineStr">
        <is>
          <t>MC2 wet-lab protein designs and MC4 closed-loop lab studies show successful physical outputs.</t>
        </is>
      </c>
      <c r="C4" s="2" t="inlineStr">
        <is>
          <t>The digital-to-physical interface is not merely a bottleneck; with appropriate tools, authority and feedback it can be a capability amplifier.</t>
        </is>
      </c>
      <c r="D4" s="2" t="inlineStr">
        <is>
          <t>Evidence that these successes depend entirely on hidden human intervention rather than the evaluated system.</t>
        </is>
      </c>
    </row>
    <row r="5">
      <c r="A5" s="2" t="inlineStr">
        <is>
          <t>Configuration is part of the capability</t>
        </is>
      </c>
      <c r="B5" s="2" t="inlineStr">
        <is>
          <t>MC2 forced-depth intervention, MC4 tool/robot access, MC5 structured scientific loops, MC6 provider/harness effects.</t>
        </is>
      </c>
      <c r="C5" s="2" t="inlineStr">
        <is>
          <t>Model identity alone is an incomplete unit of analysis. Capability and safeguard behavior are properties of configured systems.</t>
        </is>
      </c>
      <c r="D5" s="2" t="inlineStr">
        <is>
          <t>Studies showing configuration choices have negligible effects relative to model identity across matched tasks.</t>
        </is>
      </c>
    </row>
    <row r="6">
      <c r="A6" s="2" t="inlineStr">
        <is>
          <t>Feedback only matters when it closes an actionable update loop</t>
        </is>
      </c>
      <c r="B6" s="2" t="inlineStr">
        <is>
          <t>MC4 Red Queen and MC5 X-ray scientist succeed through interpretable feedback; other benchmark/workflow gaps show that outputs alone do not create learning.</t>
        </is>
      </c>
      <c r="C6" s="2" t="inlineStr">
        <is>
          <t>Feedback availability, interpretability, authority and update capacity should be measured separately.</t>
        </is>
      </c>
      <c r="D6" s="2" t="inlineStr">
        <is>
          <t>Cases where feedback-free systems achieve equivalent adaptive performance or where feedback availability predicts updating without these mediators.</t>
        </is>
      </c>
    </row>
    <row r="7">
      <c r="A7" s="2" t="inlineStr">
        <is>
          <t>Security claims should identify the boundary at which they are demonstrated</t>
        </is>
      </c>
      <c r="B7" s="2" t="inlineStr">
        <is>
          <t>MC1-MC6 repeatedly change interpretation when moving from proxy to workflow or physical layer.</t>
        </is>
      </c>
      <c r="C7" s="2" t="inlineStr">
        <is>
          <t>A claim such as “AI increases bio risk” should state whether evidence is model-only, agentic, human-uplift, physical, or deployed, and what arrows remain inferred.</t>
        </is>
      </c>
      <c r="D7" s="2" t="inlineStr">
        <is>
          <t>Prospective validation showing boundary labels add little explanatory value.</t>
        </is>
      </c>
    </row>
  </sheetData>
  <autoFilter ref="A1:D7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80" customWidth="1" min="3" max="3"/>
  </cols>
  <sheetData>
    <row r="1">
      <c r="A1" s="6" t="inlineStr">
        <is>
          <t>Item</t>
        </is>
      </c>
      <c r="B1" s="6" t="inlineStr">
        <is>
          <t>N / status</t>
        </is>
      </c>
      <c r="C1" s="6" t="inlineStr">
        <is>
          <t>Note</t>
        </is>
      </c>
    </row>
    <row r="2">
      <c r="A2" s="2" t="inlineStr">
        <is>
          <t>Set 1 funding observations</t>
        </is>
      </c>
      <c r="B2" s="2" t="n">
        <v>50</v>
      </c>
      <c r="C2" s="2" t="inlineStr">
        <is>
          <t>Unchanged from v1.6.</t>
        </is>
      </c>
    </row>
    <row r="3">
      <c r="A3" s="2" t="inlineStr">
        <is>
          <t>Set 2 evaluation observations</t>
        </is>
      </c>
      <c r="B3" s="2" t="n">
        <v>42</v>
      </c>
      <c r="C3" s="2" t="inlineStr">
        <is>
          <t>Unchanged from v1.6.</t>
        </is>
      </c>
    </row>
    <row r="4">
      <c r="A4" s="2" t="inlineStr">
        <is>
          <t>Set 3 trajectory observations</t>
        </is>
      </c>
      <c r="B4" s="2" t="n">
        <v>42</v>
      </c>
      <c r="C4" s="2" t="inlineStr">
        <is>
          <t>Unchanged from v1.6.</t>
        </is>
      </c>
    </row>
    <row r="5">
      <c r="A5" s="2" t="inlineStr">
        <is>
          <t>Comparator corpus</t>
        </is>
      </c>
      <c r="B5" s="2" t="n">
        <v>30</v>
      </c>
      <c r="C5" s="2" t="inlineStr">
        <is>
          <t>Unchanged from v1.6.</t>
        </is>
      </c>
    </row>
    <row r="6">
      <c r="A6" s="2" t="inlineStr">
        <is>
          <t>Matched capability families</t>
        </is>
      </c>
      <c r="B6" s="2" t="n">
        <v>6</v>
      </c>
      <c r="C6" s="2" t="inlineStr">
        <is>
          <t>New in v1.7.</t>
        </is>
      </c>
    </row>
    <row r="7">
      <c r="A7" s="2" t="inlineStr">
        <is>
          <t>Matched stage observations</t>
        </is>
      </c>
      <c r="B7" s="2" t="n">
        <v>17</v>
      </c>
      <c r="C7" s="2" t="inlineStr">
        <is>
          <t>New in v1.7; manually curated from primary sources and existing corpus.</t>
        </is>
      </c>
    </row>
    <row r="8">
      <c r="A8" s="2" t="inlineStr">
        <is>
          <t>Physical/lab-containing matched families</t>
        </is>
      </c>
      <c r="B8" s="2" t="n">
        <v>4</v>
      </c>
      <c r="C8" s="2" t="inlineStr">
        <is>
          <t>MC1-MC4.</t>
        </is>
      </c>
    </row>
    <row r="9">
      <c r="A9" s="2" t="inlineStr">
        <is>
          <t>Analysis status</t>
        </is>
      </c>
      <c r="B9" s="2" t="inlineStr">
        <is>
          <t>Exploratory / hypothesis-generating</t>
        </is>
      </c>
      <c r="C9" s="2" t="inlineStr">
        <is>
          <t>No population-level inference; families intentionally selected for cross-boundary comparability.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Structured Observation Analysis of AI-biosecurity Papers in Four Categories 092026</dc:title>
  <dc:subject xmlns:dc="http://purl.org/dc/elements/1.1/">Structured observation corpus and analyses across four categories</dc:subject>
  <dcterms:created xmlns:dcterms="http://purl.org/dc/terms/" xmlns:xsi="http://www.w3.org/2001/XMLSchema-instance" xsi:type="dcterms:W3CDTF">2026-09-18T22:35:41Z</dcterms:created>
  <dcterms:modified xmlns:dcterms="http://purl.org/dc/terms/" xmlns:xsi="http://www.w3.org/2001/XMLSchema-instance" xsi:type="dcterms:W3CDTF">2026-09-21T01:01:39Z</dcterms:modified>
</cp:coreProperties>
</file>